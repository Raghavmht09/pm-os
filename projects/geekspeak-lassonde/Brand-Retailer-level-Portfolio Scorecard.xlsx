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 Akbar\Desktop\Delete\TechStack Work\Dataweave Call\"/>
    </mc:Choice>
  </mc:AlternateContent>
  <xr:revisionPtr revIDLastSave="0" documentId="13_ncr:1_{F2C6DAD5-90C2-4363-B6CB-9AC01F278C6A}" xr6:coauthVersionLast="47" xr6:coauthVersionMax="47" xr10:uidLastSave="{00000000-0000-0000-0000-000000000000}"/>
  <bookViews>
    <workbookView xWindow="-108" yWindow="-108" windowWidth="23256" windowHeight="12456" tabRatio="822" firstSheet="5" activeTab="5" xr2:uid="{00000000-000D-0000-FFFF-FFFF00000000}"/>
  </bookViews>
  <sheets>
    <sheet name="October 05, 2023" sheetId="2" r:id="rId1"/>
    <sheet name="October 23, 2023" sheetId="3" r:id="rId2"/>
    <sheet name="May 08, 2024" sheetId="10" r:id="rId3"/>
    <sheet name="January 03, 2025" sheetId="18" r:id="rId4"/>
    <sheet name="August 29, 2025" sheetId="26" r:id="rId5"/>
    <sheet name="October 03, 2025" sheetId="27" r:id="rId6"/>
  </sheets>
  <definedNames>
    <definedName name="_xlnm._FilterDatabase" localSheetId="3" hidden="1">'January 03, 2025'!$A$1:$G$51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7" l="1"/>
  <c r="B26" i="27"/>
  <c r="B25" i="27"/>
  <c r="B24" i="27"/>
  <c r="B23" i="27"/>
  <c r="B41" i="27" l="1"/>
  <c r="B40" i="27"/>
  <c r="B39" i="27"/>
  <c r="B38" i="27"/>
  <c r="B31" i="27"/>
  <c r="B30" i="27"/>
  <c r="B29" i="27"/>
  <c r="B28" i="27"/>
  <c r="B21" i="27"/>
  <c r="B20" i="27"/>
  <c r="B19" i="27"/>
  <c r="D51" i="27"/>
  <c r="D50" i="27"/>
  <c r="D49" i="27"/>
  <c r="D48" i="27"/>
  <c r="D41" i="27"/>
  <c r="D40" i="27"/>
  <c r="D39" i="27"/>
  <c r="D38" i="27"/>
  <c r="D36" i="27"/>
  <c r="D35" i="27"/>
  <c r="D34" i="27"/>
  <c r="D33" i="27"/>
  <c r="D31" i="27"/>
  <c r="D30" i="27"/>
  <c r="D29" i="27"/>
  <c r="D28" i="27"/>
  <c r="D21" i="27"/>
  <c r="D20" i="27"/>
  <c r="D19" i="27"/>
  <c r="D18" i="27"/>
  <c r="D16" i="27"/>
  <c r="D15" i="27"/>
  <c r="D14" i="27"/>
  <c r="D13" i="27"/>
  <c r="D8" i="27"/>
  <c r="G34" i="27" l="1"/>
  <c r="E51" i="27" l="1"/>
  <c r="E50" i="27"/>
  <c r="E49" i="27"/>
  <c r="E48" i="27"/>
  <c r="E41" i="27"/>
  <c r="E40" i="27"/>
  <c r="E39" i="27"/>
  <c r="E38" i="27"/>
  <c r="E36" i="27"/>
  <c r="E35" i="27"/>
  <c r="E34" i="27"/>
  <c r="E33" i="27"/>
  <c r="E31" i="27"/>
  <c r="E30" i="27"/>
  <c r="E29" i="27"/>
  <c r="E28" i="27"/>
  <c r="E26" i="27"/>
  <c r="E25" i="27"/>
  <c r="E24" i="27"/>
  <c r="E23" i="27"/>
  <c r="E21" i="27"/>
  <c r="E20" i="27"/>
  <c r="E19" i="27"/>
  <c r="E18" i="27"/>
  <c r="E16" i="27"/>
  <c r="E15" i="27"/>
  <c r="E14" i="27"/>
  <c r="E13" i="27"/>
  <c r="E11" i="27"/>
  <c r="E10" i="27"/>
  <c r="E9" i="27"/>
  <c r="E8" i="27"/>
  <c r="E6" i="27"/>
  <c r="E5" i="27"/>
  <c r="E4" i="27"/>
  <c r="C51" i="27" l="1"/>
  <c r="C50" i="27"/>
  <c r="C49" i="27"/>
  <c r="C48" i="27"/>
  <c r="C41" i="27"/>
  <c r="C40" i="27"/>
  <c r="C39" i="27"/>
  <c r="C38" i="27"/>
  <c r="C34" i="27"/>
  <c r="C31" i="27"/>
  <c r="C30" i="27"/>
  <c r="C29" i="27"/>
  <c r="C28" i="27"/>
  <c r="C4" i="27"/>
  <c r="G39" i="27" l="1"/>
  <c r="G36" i="27"/>
  <c r="G35" i="27"/>
  <c r="G33" i="27"/>
  <c r="F35" i="27"/>
  <c r="F21" i="27"/>
  <c r="F20" i="27"/>
  <c r="F18" i="27"/>
  <c r="F51" i="27" l="1"/>
  <c r="B51" i="27"/>
  <c r="F50" i="27"/>
  <c r="B50" i="27"/>
  <c r="B49" i="27"/>
  <c r="F48" i="27"/>
  <c r="B48" i="27"/>
  <c r="G41" i="27"/>
  <c r="F41" i="27"/>
  <c r="G40" i="27"/>
  <c r="F40" i="27"/>
  <c r="G38" i="27"/>
  <c r="F38" i="27"/>
  <c r="F36" i="27"/>
  <c r="C36" i="27"/>
  <c r="B36" i="27"/>
  <c r="C35" i="27"/>
  <c r="B35" i="27"/>
  <c r="B34" i="27"/>
  <c r="F33" i="27"/>
  <c r="C33" i="27"/>
  <c r="B33" i="27"/>
  <c r="F26" i="27"/>
  <c r="D26" i="27"/>
  <c r="C26" i="27"/>
  <c r="F25" i="27"/>
  <c r="D25" i="27"/>
  <c r="C25" i="27"/>
  <c r="D24" i="27"/>
  <c r="C24" i="27"/>
  <c r="F23" i="27"/>
  <c r="D23" i="27"/>
  <c r="C23" i="27"/>
  <c r="C21" i="27"/>
  <c r="C20" i="27"/>
  <c r="C19" i="27"/>
  <c r="C18" i="27"/>
  <c r="B18" i="27"/>
  <c r="F16" i="27"/>
  <c r="C16" i="27"/>
  <c r="B16" i="27"/>
  <c r="F15" i="27"/>
  <c r="C15" i="27"/>
  <c r="B15" i="27"/>
  <c r="C14" i="27"/>
  <c r="B14" i="27"/>
  <c r="F13" i="27"/>
  <c r="C13" i="27"/>
  <c r="B13" i="27"/>
  <c r="F11" i="27"/>
  <c r="D11" i="27"/>
  <c r="C11" i="27"/>
  <c r="B11" i="27"/>
  <c r="F10" i="27"/>
  <c r="D10" i="27"/>
  <c r="C10" i="27"/>
  <c r="B10" i="27"/>
  <c r="D9" i="27"/>
  <c r="C9" i="27"/>
  <c r="B9" i="27"/>
  <c r="F8" i="27"/>
  <c r="C8" i="27"/>
  <c r="B8" i="27"/>
  <c r="F6" i="27"/>
  <c r="D6" i="27"/>
  <c r="C6" i="27"/>
  <c r="B6" i="27"/>
  <c r="F5" i="27"/>
  <c r="D5" i="27"/>
  <c r="C5" i="27"/>
  <c r="B5" i="27"/>
  <c r="D4" i="27"/>
  <c r="B4" i="27"/>
  <c r="F3" i="27"/>
  <c r="D3" i="27"/>
  <c r="C3" i="27"/>
  <c r="B3" i="27"/>
  <c r="E55" i="26"/>
  <c r="E53" i="26"/>
  <c r="E54" i="26"/>
  <c r="E56" i="26"/>
  <c r="E51" i="26"/>
  <c r="E50" i="26"/>
  <c r="E49" i="26"/>
  <c r="E48" i="26"/>
  <c r="E46" i="26"/>
  <c r="E45" i="26"/>
  <c r="E44" i="26"/>
  <c r="E43" i="26"/>
  <c r="E41" i="26"/>
  <c r="E40" i="26"/>
  <c r="E39" i="26"/>
  <c r="E38" i="26"/>
  <c r="E36" i="26"/>
  <c r="E35" i="26"/>
  <c r="E34" i="26"/>
  <c r="E33" i="26"/>
  <c r="E26" i="26"/>
  <c r="E25" i="26"/>
  <c r="E24" i="26"/>
  <c r="E23" i="26"/>
  <c r="E21" i="26"/>
  <c r="E20" i="26"/>
  <c r="E19" i="26"/>
  <c r="E18" i="26"/>
  <c r="E16" i="26"/>
  <c r="E15" i="26"/>
  <c r="E14" i="26"/>
  <c r="E13" i="26"/>
  <c r="E11" i="26"/>
  <c r="E10" i="26"/>
  <c r="E9" i="26"/>
  <c r="E8" i="26"/>
  <c r="E6" i="26"/>
  <c r="E5" i="26"/>
  <c r="E4" i="26"/>
  <c r="E3" i="26"/>
  <c r="C39" i="26" l="1"/>
  <c r="C38" i="26"/>
  <c r="C21" i="26"/>
  <c r="C20" i="26"/>
  <c r="C19" i="26"/>
  <c r="C18" i="26"/>
  <c r="C13" i="26"/>
  <c r="C8" i="26"/>
  <c r="D45" i="26" l="1"/>
  <c r="D36" i="26"/>
  <c r="D35" i="26"/>
  <c r="D34" i="26"/>
  <c r="D33" i="26"/>
  <c r="D16" i="26"/>
  <c r="D15" i="26"/>
  <c r="D14" i="26"/>
  <c r="D13" i="26"/>
  <c r="B54" i="26"/>
  <c r="B56" i="26"/>
  <c r="B55" i="26"/>
  <c r="B53" i="26"/>
  <c r="B46" i="26"/>
  <c r="B45" i="26"/>
  <c r="B44" i="26"/>
  <c r="B43" i="26"/>
  <c r="B41" i="26"/>
  <c r="B36" i="26"/>
  <c r="B35" i="26"/>
  <c r="B34" i="26"/>
  <c r="B33" i="26"/>
  <c r="F56" i="26" l="1"/>
  <c r="F55" i="26"/>
  <c r="F53" i="26"/>
  <c r="F48" i="26" l="1"/>
  <c r="F50" i="26"/>
  <c r="F51" i="26"/>
  <c r="F21" i="26"/>
  <c r="F13" i="26"/>
  <c r="F15" i="26"/>
  <c r="F16" i="26"/>
  <c r="F3" i="26"/>
  <c r="D51" i="26" l="1"/>
  <c r="C51" i="26"/>
  <c r="B51" i="26"/>
  <c r="D50" i="26"/>
  <c r="C50" i="26"/>
  <c r="B50" i="26"/>
  <c r="D49" i="26"/>
  <c r="C49" i="26"/>
  <c r="B49" i="26"/>
  <c r="D48" i="26"/>
  <c r="C48" i="26"/>
  <c r="B48" i="26"/>
  <c r="G46" i="26"/>
  <c r="F46" i="26"/>
  <c r="D46" i="26"/>
  <c r="C46" i="26"/>
  <c r="G45" i="26"/>
  <c r="F45" i="26"/>
  <c r="C45" i="26"/>
  <c r="G44" i="26"/>
  <c r="D44" i="26"/>
  <c r="C44" i="26"/>
  <c r="G43" i="26"/>
  <c r="F43" i="26"/>
  <c r="D43" i="26"/>
  <c r="C43" i="26"/>
  <c r="F41" i="26"/>
  <c r="D41" i="26"/>
  <c r="C41" i="26"/>
  <c r="F40" i="26"/>
  <c r="D40" i="26"/>
  <c r="C40" i="26"/>
  <c r="B40" i="26"/>
  <c r="D39" i="26"/>
  <c r="B39" i="26"/>
  <c r="F38" i="26"/>
  <c r="D38" i="26"/>
  <c r="B38" i="26"/>
  <c r="F26" i="26"/>
  <c r="D26" i="26"/>
  <c r="C26" i="26"/>
  <c r="B26" i="26"/>
  <c r="F25" i="26"/>
  <c r="D25" i="26"/>
  <c r="C25" i="26"/>
  <c r="B25" i="26"/>
  <c r="D24" i="26"/>
  <c r="C24" i="26"/>
  <c r="B24" i="26"/>
  <c r="F23" i="26"/>
  <c r="D23" i="26"/>
  <c r="C23" i="26"/>
  <c r="B23" i="26"/>
  <c r="D21" i="26"/>
  <c r="B21" i="26"/>
  <c r="F20" i="26"/>
  <c r="D20" i="26"/>
  <c r="B20" i="26"/>
  <c r="D19" i="26"/>
  <c r="B19" i="26"/>
  <c r="F18" i="26"/>
  <c r="D18" i="26"/>
  <c r="B18" i="26"/>
  <c r="C16" i="26"/>
  <c r="B16" i="26"/>
  <c r="C15" i="26"/>
  <c r="B15" i="26"/>
  <c r="C14" i="26"/>
  <c r="B14" i="26"/>
  <c r="B13" i="26"/>
  <c r="F11" i="26"/>
  <c r="D11" i="26"/>
  <c r="C11" i="26"/>
  <c r="B11" i="26"/>
  <c r="F10" i="26"/>
  <c r="D10" i="26"/>
  <c r="C10" i="26"/>
  <c r="B10" i="26"/>
  <c r="D9" i="26"/>
  <c r="C9" i="26"/>
  <c r="B9" i="26"/>
  <c r="F8" i="26"/>
  <c r="D8" i="26"/>
  <c r="B8" i="26"/>
  <c r="F6" i="26"/>
  <c r="D6" i="26"/>
  <c r="C6" i="26"/>
  <c r="B6" i="26"/>
  <c r="F5" i="26"/>
  <c r="D5" i="26"/>
  <c r="C5" i="26"/>
  <c r="B5" i="26"/>
  <c r="D4" i="26"/>
  <c r="C4" i="26"/>
  <c r="B4" i="26"/>
  <c r="D3" i="26"/>
  <c r="C3" i="26"/>
  <c r="B3" i="26"/>
  <c r="D39" i="18" l="1"/>
  <c r="D4" i="18"/>
  <c r="B51" i="18"/>
  <c r="B50" i="18"/>
  <c r="B49" i="18"/>
  <c r="B48" i="18"/>
  <c r="B46" i="18"/>
  <c r="B45" i="18"/>
  <c r="B44" i="18"/>
  <c r="B43" i="18"/>
  <c r="B41" i="18"/>
  <c r="B40" i="18"/>
  <c r="B39" i="18"/>
  <c r="B38" i="18"/>
  <c r="B36" i="18"/>
  <c r="B35" i="18"/>
  <c r="B34" i="18"/>
  <c r="B33" i="18"/>
  <c r="B31" i="18"/>
  <c r="B30" i="18"/>
  <c r="B29" i="18"/>
  <c r="B28" i="18"/>
  <c r="B26" i="18"/>
  <c r="B25" i="18"/>
  <c r="B24" i="18"/>
  <c r="B23" i="18"/>
  <c r="B21" i="18"/>
  <c r="B20" i="18"/>
  <c r="B19" i="18"/>
  <c r="B18" i="18"/>
  <c r="B16" i="18"/>
  <c r="B15" i="18"/>
  <c r="B14" i="18"/>
  <c r="B13" i="18"/>
  <c r="B11" i="18"/>
  <c r="B10" i="18"/>
  <c r="B9" i="18"/>
  <c r="B8" i="18"/>
  <c r="B6" i="18"/>
  <c r="B5" i="18"/>
  <c r="B4" i="18"/>
  <c r="B3" i="18"/>
  <c r="D51" i="18" l="1"/>
  <c r="D50" i="18"/>
  <c r="D49" i="18"/>
  <c r="D48" i="18"/>
  <c r="D46" i="18"/>
  <c r="D45" i="18"/>
  <c r="D44" i="18"/>
  <c r="D43" i="18"/>
  <c r="D41" i="18"/>
  <c r="D40" i="18"/>
  <c r="D38" i="18"/>
  <c r="D36" i="18"/>
  <c r="D35" i="18"/>
  <c r="D34" i="18"/>
  <c r="D33" i="18"/>
  <c r="D31" i="18"/>
  <c r="D30" i="18"/>
  <c r="D29" i="18"/>
  <c r="D28" i="18"/>
  <c r="D26" i="18"/>
  <c r="D25" i="18"/>
  <c r="D24" i="18"/>
  <c r="D23" i="18"/>
  <c r="D21" i="18"/>
  <c r="D20" i="18"/>
  <c r="D19" i="18"/>
  <c r="D18" i="18"/>
  <c r="D16" i="18"/>
  <c r="D15" i="18"/>
  <c r="D14" i="18"/>
  <c r="D13" i="18"/>
  <c r="D11" i="18"/>
  <c r="D10" i="18"/>
  <c r="D9" i="18"/>
  <c r="D8" i="18"/>
  <c r="D6" i="18"/>
  <c r="D5" i="18"/>
  <c r="D3" i="18"/>
  <c r="C51" i="18" l="1"/>
  <c r="C50" i="18"/>
  <c r="C49" i="18"/>
  <c r="C48" i="18"/>
  <c r="C46" i="18"/>
  <c r="C45" i="18"/>
  <c r="C44" i="18"/>
  <c r="C43" i="18"/>
  <c r="C41" i="18"/>
  <c r="C40" i="18"/>
  <c r="C39" i="18"/>
  <c r="C38" i="18"/>
  <c r="C36" i="18"/>
  <c r="C35" i="18"/>
  <c r="C34" i="18"/>
  <c r="C33" i="18"/>
  <c r="C31" i="18"/>
  <c r="C30" i="18"/>
  <c r="C29" i="18"/>
  <c r="C28" i="18"/>
  <c r="C26" i="18"/>
  <c r="C25" i="18"/>
  <c r="C24" i="18"/>
  <c r="C23" i="18"/>
  <c r="C21" i="18"/>
  <c r="C20" i="18"/>
  <c r="C19" i="18"/>
  <c r="C18" i="18"/>
  <c r="C16" i="18"/>
  <c r="C15" i="18"/>
  <c r="C14" i="18"/>
  <c r="C13" i="18"/>
  <c r="C11" i="18"/>
  <c r="C10" i="18"/>
  <c r="C9" i="18"/>
  <c r="C8" i="18"/>
  <c r="C6" i="18"/>
  <c r="C5" i="18"/>
  <c r="C4" i="18"/>
  <c r="C3" i="18"/>
  <c r="E11" i="18" l="1"/>
  <c r="E10" i="18"/>
  <c r="E9" i="18"/>
  <c r="E8" i="18"/>
  <c r="F50" i="18" l="1"/>
  <c r="F41" i="18"/>
  <c r="F40" i="18"/>
  <c r="F38" i="18"/>
  <c r="F30" i="18"/>
  <c r="F51" i="18" l="1"/>
  <c r="E51" i="18"/>
  <c r="E50" i="18"/>
  <c r="E49" i="18"/>
  <c r="F48" i="18"/>
  <c r="E48" i="18"/>
  <c r="G46" i="18"/>
  <c r="F46" i="18"/>
  <c r="E46" i="18"/>
  <c r="G45" i="18"/>
  <c r="F45" i="18"/>
  <c r="E45" i="18"/>
  <c r="G44" i="18"/>
  <c r="E44" i="18"/>
  <c r="G43" i="18"/>
  <c r="F43" i="18"/>
  <c r="E43" i="18"/>
  <c r="E41" i="18"/>
  <c r="E40" i="18"/>
  <c r="E39" i="18"/>
  <c r="E38" i="18"/>
  <c r="E36" i="18"/>
  <c r="E35" i="18"/>
  <c r="E34" i="18"/>
  <c r="E33" i="18"/>
  <c r="F31" i="18"/>
  <c r="E31" i="18"/>
  <c r="E30" i="18"/>
  <c r="E29" i="18"/>
  <c r="F28" i="18"/>
  <c r="E28" i="18"/>
  <c r="F26" i="18"/>
  <c r="E26" i="18"/>
  <c r="F25" i="18"/>
  <c r="E25" i="18"/>
  <c r="E24" i="18"/>
  <c r="F23" i="18"/>
  <c r="E23" i="18"/>
  <c r="G21" i="18"/>
  <c r="F21" i="18"/>
  <c r="E21" i="18"/>
  <c r="G20" i="18"/>
  <c r="F20" i="18"/>
  <c r="E20" i="18"/>
  <c r="G19" i="18"/>
  <c r="E19" i="18"/>
  <c r="G18" i="18"/>
  <c r="F18" i="18"/>
  <c r="E18" i="18"/>
  <c r="F16" i="18"/>
  <c r="E16" i="18"/>
  <c r="F15" i="18"/>
  <c r="E15" i="18"/>
  <c r="E14" i="18"/>
  <c r="F13" i="18"/>
  <c r="E13" i="18"/>
  <c r="F11" i="18"/>
  <c r="F10" i="18"/>
  <c r="F8" i="18"/>
  <c r="F6" i="18"/>
  <c r="F5" i="18"/>
  <c r="F3" i="18"/>
  <c r="E10" i="10" l="1"/>
  <c r="B6" i="10"/>
  <c r="E44" i="10"/>
  <c r="D45" i="10"/>
  <c r="D44" i="10"/>
  <c r="B44" i="10"/>
  <c r="B31" i="10"/>
  <c r="D26" i="10"/>
  <c r="D24" i="10"/>
  <c r="D40" i="10"/>
  <c r="D39" i="10"/>
  <c r="E39" i="10"/>
  <c r="G19" i="10"/>
  <c r="B20" i="10"/>
  <c r="D19" i="10"/>
  <c r="E21" i="10"/>
  <c r="E20" i="10"/>
  <c r="E19" i="10"/>
  <c r="E18" i="10"/>
  <c r="C18" i="10"/>
  <c r="E15" i="10"/>
  <c r="E16" i="10"/>
  <c r="E14" i="10"/>
  <c r="E13" i="10"/>
  <c r="D15" i="10"/>
  <c r="D14" i="10"/>
  <c r="B36" i="10"/>
  <c r="B14" i="10"/>
  <c r="B15" i="10"/>
  <c r="B16" i="10"/>
  <c r="B13" i="10"/>
  <c r="B11" i="10"/>
  <c r="E31" i="10" l="1"/>
  <c r="E9" i="10"/>
  <c r="E8" i="10"/>
  <c r="D38" i="10"/>
  <c r="D21" i="10"/>
  <c r="D20" i="10"/>
  <c r="D18" i="10"/>
  <c r="D16" i="10"/>
  <c r="D13" i="10"/>
  <c r="C11" i="10"/>
  <c r="C10" i="10"/>
  <c r="C9" i="10"/>
  <c r="D11" i="10"/>
  <c r="D10" i="10"/>
  <c r="D9" i="10"/>
  <c r="D8" i="10"/>
  <c r="D6" i="10"/>
  <c r="D5" i="10"/>
  <c r="D4" i="10"/>
  <c r="D3" i="10"/>
  <c r="C46" i="10"/>
  <c r="C45" i="10"/>
  <c r="C44" i="10"/>
  <c r="C43" i="10"/>
  <c r="C35" i="10"/>
  <c r="C13" i="10"/>
  <c r="C4" i="10"/>
  <c r="C19" i="10" l="1"/>
  <c r="E46" i="10"/>
  <c r="D46" i="10"/>
  <c r="B46" i="10"/>
  <c r="E45" i="10"/>
  <c r="B45" i="10"/>
  <c r="E43" i="10"/>
  <c r="D43" i="10"/>
  <c r="B43" i="10"/>
  <c r="E41" i="10"/>
  <c r="D41" i="10"/>
  <c r="C41" i="10"/>
  <c r="B41" i="10"/>
  <c r="E40" i="10"/>
  <c r="C40" i="10"/>
  <c r="B40" i="10"/>
  <c r="C39" i="10"/>
  <c r="B39" i="10"/>
  <c r="E38" i="10"/>
  <c r="C38" i="10"/>
  <c r="B38" i="10"/>
  <c r="D36" i="10"/>
  <c r="C36" i="10"/>
  <c r="D35" i="10"/>
  <c r="B35" i="10"/>
  <c r="D34" i="10"/>
  <c r="C34" i="10"/>
  <c r="B34" i="10"/>
  <c r="D33" i="10"/>
  <c r="C33" i="10"/>
  <c r="B33" i="10"/>
  <c r="F31" i="10"/>
  <c r="D31" i="10"/>
  <c r="C31" i="10"/>
  <c r="E30" i="10"/>
  <c r="D30" i="10"/>
  <c r="C30" i="10"/>
  <c r="B30" i="10"/>
  <c r="E29" i="10"/>
  <c r="D29" i="10"/>
  <c r="C29" i="10"/>
  <c r="B29" i="10"/>
  <c r="F28" i="10"/>
  <c r="E28" i="10"/>
  <c r="D28" i="10"/>
  <c r="C28" i="10"/>
  <c r="B28" i="10"/>
  <c r="F26" i="10"/>
  <c r="E26" i="10"/>
  <c r="C26" i="10"/>
  <c r="B26" i="10"/>
  <c r="E25" i="10"/>
  <c r="D25" i="10"/>
  <c r="C25" i="10"/>
  <c r="B25" i="10"/>
  <c r="E24" i="10"/>
  <c r="C24" i="10"/>
  <c r="B24" i="10"/>
  <c r="F23" i="10"/>
  <c r="E23" i="10"/>
  <c r="D23" i="10"/>
  <c r="C23" i="10"/>
  <c r="B23" i="10"/>
  <c r="G21" i="10"/>
  <c r="F21" i="10"/>
  <c r="C21" i="10"/>
  <c r="B21" i="10"/>
  <c r="C20" i="10"/>
  <c r="B19" i="10"/>
  <c r="G18" i="10"/>
  <c r="F18" i="10"/>
  <c r="B18" i="10"/>
  <c r="F16" i="10"/>
  <c r="C16" i="10"/>
  <c r="C15" i="10"/>
  <c r="C14" i="10"/>
  <c r="F13" i="10"/>
  <c r="F11" i="10"/>
  <c r="E11" i="10"/>
  <c r="B10" i="10"/>
  <c r="B9" i="10"/>
  <c r="F8" i="10"/>
  <c r="C8" i="10"/>
  <c r="B8" i="10"/>
  <c r="F6" i="10"/>
  <c r="C6" i="10"/>
  <c r="C5" i="10"/>
  <c r="B5" i="10"/>
  <c r="B4" i="10"/>
  <c r="F3" i="10"/>
  <c r="C3" i="10"/>
  <c r="B3" i="10"/>
  <c r="B31" i="3" l="1"/>
  <c r="B29" i="3"/>
  <c r="B26" i="3"/>
  <c r="B21" i="3"/>
  <c r="B20" i="3"/>
  <c r="B19" i="3"/>
  <c r="B18" i="3"/>
  <c r="B16" i="3"/>
  <c r="B15" i="3"/>
  <c r="B14" i="3"/>
  <c r="B13" i="3"/>
  <c r="B11" i="3"/>
  <c r="B10" i="3"/>
  <c r="B9" i="3"/>
  <c r="B8" i="3"/>
  <c r="C21" i="3"/>
  <c r="C20" i="3"/>
  <c r="C19" i="3"/>
  <c r="C18" i="3"/>
  <c r="C11" i="3"/>
  <c r="C10" i="3"/>
  <c r="C9" i="3"/>
  <c r="C8" i="3"/>
  <c r="D26" i="3" l="1"/>
  <c r="D24" i="3"/>
  <c r="D11" i="3"/>
  <c r="D21" i="3"/>
  <c r="D20" i="3"/>
  <c r="D19" i="3"/>
  <c r="D18" i="3"/>
  <c r="D16" i="3"/>
  <c r="D15" i="3"/>
  <c r="D14" i="3"/>
  <c r="D13" i="3"/>
  <c r="D4" i="3"/>
  <c r="D9" i="3"/>
  <c r="D6" i="3"/>
  <c r="D10" i="3"/>
  <c r="D8" i="3"/>
  <c r="G21" i="3"/>
  <c r="E21" i="3"/>
  <c r="E20" i="3"/>
  <c r="E19" i="3"/>
  <c r="E18" i="3"/>
  <c r="E16" i="3"/>
  <c r="E13" i="3"/>
  <c r="E15" i="3"/>
  <c r="E14" i="3"/>
  <c r="F31" i="3"/>
  <c r="F28" i="3"/>
  <c r="F26" i="3"/>
  <c r="F21" i="3"/>
  <c r="F16" i="3"/>
  <c r="F11" i="3"/>
  <c r="F6" i="3"/>
  <c r="D5" i="3"/>
  <c r="D3" i="3"/>
  <c r="C4" i="3"/>
  <c r="C3" i="3"/>
  <c r="B6" i="3"/>
  <c r="B5" i="3"/>
  <c r="B4" i="3"/>
  <c r="B30" i="3"/>
  <c r="B28" i="3"/>
  <c r="E26" i="3"/>
  <c r="C26" i="3"/>
  <c r="E25" i="3"/>
  <c r="D25" i="3"/>
  <c r="C25" i="3"/>
  <c r="B25" i="3"/>
  <c r="E24" i="3"/>
  <c r="C24" i="3"/>
  <c r="B24" i="3"/>
  <c r="F23" i="3"/>
  <c r="E23" i="3"/>
  <c r="D23" i="3"/>
  <c r="C23" i="3"/>
  <c r="B23" i="3"/>
  <c r="G19" i="3"/>
  <c r="G18" i="3"/>
  <c r="F18" i="3"/>
  <c r="C16" i="3"/>
  <c r="C15" i="3"/>
  <c r="C14" i="3"/>
  <c r="F13" i="3"/>
  <c r="C13" i="3"/>
  <c r="E11" i="3"/>
  <c r="E10" i="3"/>
  <c r="E9" i="3"/>
  <c r="F8" i="3"/>
  <c r="E8" i="3"/>
  <c r="C6" i="3"/>
  <c r="C5" i="3"/>
  <c r="F3" i="3"/>
  <c r="B3" i="3"/>
  <c r="B26" i="2"/>
  <c r="F18" i="2"/>
  <c r="D23" i="2"/>
  <c r="B30" i="2"/>
  <c r="C21" i="2"/>
  <c r="C20" i="2"/>
  <c r="C19" i="2"/>
  <c r="C18" i="2"/>
  <c r="F20" i="2" l="1"/>
  <c r="F21" i="2"/>
  <c r="B21" i="2"/>
  <c r="B20" i="2"/>
  <c r="B19" i="2"/>
  <c r="B18" i="2"/>
  <c r="F26" i="2"/>
  <c r="F25" i="2"/>
  <c r="F23" i="2"/>
  <c r="D26" i="2"/>
  <c r="D25" i="2"/>
  <c r="D15" i="2"/>
  <c r="D10" i="2"/>
  <c r="D24" i="2"/>
  <c r="B25" i="2"/>
  <c r="B15" i="2"/>
  <c r="B10" i="2"/>
  <c r="B5" i="2"/>
  <c r="B24" i="2"/>
  <c r="B23" i="2"/>
  <c r="E26" i="2"/>
  <c r="E25" i="2"/>
  <c r="E20" i="2"/>
  <c r="E15" i="2"/>
  <c r="E10" i="2"/>
  <c r="E24" i="2"/>
  <c r="E23" i="2"/>
  <c r="C26" i="2"/>
  <c r="C5" i="2"/>
  <c r="C4" i="2"/>
  <c r="C6" i="2"/>
  <c r="C25" i="2"/>
  <c r="C24" i="2"/>
  <c r="C23" i="2"/>
  <c r="F16" i="2"/>
  <c r="F13" i="2"/>
  <c r="F30" i="2"/>
  <c r="F31" i="2"/>
  <c r="F6" i="2"/>
  <c r="F11" i="2"/>
  <c r="F15" i="2"/>
  <c r="E16" i="2"/>
  <c r="E21" i="2"/>
  <c r="E14" i="2"/>
  <c r="E13" i="2"/>
  <c r="D16" i="2"/>
  <c r="D11" i="2"/>
  <c r="D14" i="2"/>
  <c r="D13" i="2"/>
  <c r="C16" i="2"/>
  <c r="C15" i="2"/>
  <c r="C14" i="2"/>
  <c r="C13" i="2"/>
  <c r="F28" i="2" l="1"/>
  <c r="E19" i="2"/>
  <c r="E18" i="2"/>
  <c r="D6" i="2"/>
  <c r="D21" i="2"/>
  <c r="D20" i="2"/>
  <c r="D19" i="2"/>
  <c r="D18" i="2"/>
  <c r="G21" i="2" l="1"/>
  <c r="G19" i="2"/>
  <c r="G18" i="2"/>
  <c r="B29" i="2"/>
  <c r="B31" i="2"/>
  <c r="B28" i="2"/>
  <c r="F10" i="2"/>
  <c r="F8" i="2"/>
  <c r="F5" i="2"/>
  <c r="F3" i="2"/>
  <c r="E8" i="2"/>
  <c r="E9" i="2"/>
  <c r="E11" i="2"/>
  <c r="C11" i="2"/>
  <c r="C10" i="2"/>
  <c r="D9" i="2"/>
  <c r="D8" i="2"/>
  <c r="D4" i="2"/>
  <c r="D5" i="2"/>
  <c r="D3" i="2"/>
  <c r="C9" i="2"/>
  <c r="C8" i="2"/>
  <c r="C3" i="2" l="1"/>
  <c r="B11" i="2"/>
  <c r="B9" i="2"/>
  <c r="B16" i="2"/>
  <c r="B14" i="2"/>
  <c r="B13" i="2"/>
  <c r="B6" i="2"/>
  <c r="B8" i="2"/>
  <c r="B3" i="2"/>
  <c r="B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 Akbar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Ali Akbar:</t>
        </r>
        <r>
          <rPr>
            <sz val="9"/>
            <color indexed="81"/>
            <rFont val="Tahoma"/>
            <family val="2"/>
          </rPr>
          <t xml:space="preserve">
Main Pack Image - Main Image
Additional Images - IFG1, IFG2, IFG3, NFT and ING images
NFT and Ingredients - NFT and Ingredients information
Copy Description - Title/Description/Bullets/Short Description/Prep Instructions (As applicable when and where required - Not all retailers have everything).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 Akbar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Ali Akbar:</t>
        </r>
        <r>
          <rPr>
            <sz val="9"/>
            <color indexed="81"/>
            <rFont val="Tahoma"/>
            <family val="2"/>
          </rPr>
          <t xml:space="preserve">
Main Pack Image - Main Image
Additional Images - IFG1, IFG2, IFG3, NFT and ING images
NFT and Ingredients - NFT and Ingredients information
Copy Description - Title/Description/Bullets/Short Description/Prep Instructions (As applicable when and where required - Not all retailers have everything).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 Akbar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Ali Akbar:</t>
        </r>
        <r>
          <rPr>
            <sz val="9"/>
            <color indexed="81"/>
            <rFont val="Tahoma"/>
            <family val="2"/>
          </rPr>
          <t xml:space="preserve">
Main Pack Image - Main Image
Additional Images - IFG1, IFG2, IFG3, NFT and ING images
NFT and Ingredients - NFT and Ingredients information
Copy Description - Title/Description/Bullets/Short Description/Prep Instructions (As applicable when and where required - Not all retailers have everything).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 Akbar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Ali Akbar:</t>
        </r>
        <r>
          <rPr>
            <sz val="9"/>
            <color indexed="81"/>
            <rFont val="Tahoma"/>
            <family val="2"/>
          </rPr>
          <t xml:space="preserve">
Main Pack Image - Main Image
Additional Images - IFG1, IFG2, IFG3, NFT and ING images
NFT and Ingredients - NFT and Ingredients information
Copy Description - Title/Description/Bullets/Short Description/Prep Instructions (As applicable when and where required - Not all retailers have everything).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 Akbar</author>
  </authors>
  <commentList>
    <comment ref="A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Ali Akbar:</t>
        </r>
        <r>
          <rPr>
            <sz val="9"/>
            <color indexed="81"/>
            <rFont val="Tahoma"/>
            <family val="2"/>
          </rPr>
          <t xml:space="preserve">
Main Pack Image - Main Image
Additional Images - IFG1, IFG2, IFG3, NFT and ING images
NFT and Ingredients - NFT and Ingredients information
Copy Description - Title/Description/Bullets/Short Description/Prep Instructions (As applicable when and where required - Not all retailers have everything).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 Akbar</author>
  </authors>
  <commentList>
    <comment ref="A1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Ali Akbar:</t>
        </r>
        <r>
          <rPr>
            <sz val="9"/>
            <color indexed="81"/>
            <rFont val="Tahoma"/>
            <family val="2"/>
          </rPr>
          <t xml:space="preserve">
Main Pack Image - Main Image
Additional Images - IFG1, IFG2, IFG3, NFT and ING images
NFT and Ingredients - NFT and Ingredients information
Copy Description - Title/Description/Bullets/Short Description/Prep Instructions (As applicable when and where required - Not all retailers have everything).</t>
        </r>
      </text>
    </comment>
  </commentList>
</comments>
</file>

<file path=xl/sharedStrings.xml><?xml version="1.0" encoding="utf-8"?>
<sst xmlns="http://schemas.openxmlformats.org/spreadsheetml/2006/main" count="407" uniqueCount="80">
  <si>
    <t>Portfolio Details</t>
  </si>
  <si>
    <t>Walmart</t>
  </si>
  <si>
    <t>Loblaws</t>
  </si>
  <si>
    <t>Voila</t>
  </si>
  <si>
    <t>Metro</t>
  </si>
  <si>
    <t>Save on Foods</t>
  </si>
  <si>
    <t>Giant Tiger</t>
  </si>
  <si>
    <t>• Green would be 95% and up
• Yellow would be less than 95%
• Orange would be anything below 70%
• White would be Not Applicable</t>
  </si>
  <si>
    <t>RED BAG (7)</t>
  </si>
  <si>
    <t>7 (3 NF)</t>
  </si>
  <si>
    <t>Main Pack Image</t>
  </si>
  <si>
    <t>Additional Images</t>
  </si>
  <si>
    <t>NFT and Ingredients</t>
  </si>
  <si>
    <t>Copy Description</t>
  </si>
  <si>
    <t>SUPERFRIES (15)</t>
  </si>
  <si>
    <t>13 (2 NF)</t>
  </si>
  <si>
    <t>12 (3 NF)</t>
  </si>
  <si>
    <t>BISTRO (10)</t>
  </si>
  <si>
    <t>7 (2 NF)</t>
  </si>
  <si>
    <t>6 (2NF)</t>
  </si>
  <si>
    <t>6 (1 NF)</t>
  </si>
  <si>
    <t>BREAKFAST (13)</t>
  </si>
  <si>
    <t>12 (1 NF)</t>
  </si>
  <si>
    <t>10 (1 NF)</t>
  </si>
  <si>
    <t>12 (5 NF)</t>
  </si>
  <si>
    <t>4 (1 NF)</t>
  </si>
  <si>
    <t>FUN (4)</t>
  </si>
  <si>
    <t>MEDLEY (2)</t>
  </si>
  <si>
    <t>2 (2 NF)</t>
  </si>
  <si>
    <t>TAST!EZ (5)</t>
  </si>
  <si>
    <t>8 (1 NF)</t>
  </si>
  <si>
    <t>Deep'n Delicious (7)</t>
  </si>
  <si>
    <t>7 (1 NF)</t>
  </si>
  <si>
    <t>SUPERFRIES (16)</t>
  </si>
  <si>
    <t>14 (2 NF)</t>
  </si>
  <si>
    <t>BISTRO (11)</t>
  </si>
  <si>
    <t>11 (1 NF)</t>
  </si>
  <si>
    <t>MEDLEY (4)</t>
  </si>
  <si>
    <t>4 (3 NF)</t>
  </si>
  <si>
    <t>Pockets (12)</t>
  </si>
  <si>
    <t>8 (2 NF)</t>
  </si>
  <si>
    <t>15 (2 NF)</t>
  </si>
  <si>
    <t>13 (1 NF)</t>
  </si>
  <si>
    <t>BISTRO (12)</t>
  </si>
  <si>
    <t>7(1 NF)</t>
  </si>
  <si>
    <t>11 (4 NF)</t>
  </si>
  <si>
    <t>8 (3 NF)</t>
  </si>
  <si>
    <t>2 (1 NF)</t>
  </si>
  <si>
    <t>TAST!EZ (7)</t>
  </si>
  <si>
    <t>Deep'n Delicious (8)</t>
  </si>
  <si>
    <t>8 (1 NS)</t>
  </si>
  <si>
    <t>Pockets (14)</t>
  </si>
  <si>
    <t>14 (5 NF)</t>
  </si>
  <si>
    <t>4 (2 NF)</t>
  </si>
  <si>
    <t>Strong Roots (5)</t>
  </si>
  <si>
    <t>5 (2 NF)</t>
  </si>
  <si>
    <t>5 (1 NF)</t>
  </si>
  <si>
    <t>16 (3 NF)</t>
  </si>
  <si>
    <t>16 (4 NF)</t>
  </si>
  <si>
    <t>10 (2 NF)</t>
  </si>
  <si>
    <t>9 (1 NF)</t>
  </si>
  <si>
    <t>3 (1 NF)</t>
  </si>
  <si>
    <t>MEDLEY (0)</t>
  </si>
  <si>
    <t>TAST!EZ (10)</t>
  </si>
  <si>
    <t>9 (1 NS)</t>
  </si>
  <si>
    <t>7 (6 NF) (1 NS)</t>
  </si>
  <si>
    <t>9 (4 NS)</t>
  </si>
  <si>
    <t>9 (3 NF) (1 NS)</t>
  </si>
  <si>
    <t>1 (1 NF)</t>
  </si>
  <si>
    <t>13 (4 NF)</t>
  </si>
  <si>
    <t>5 (3 NF)</t>
  </si>
  <si>
    <t>4 (1NF)</t>
  </si>
  <si>
    <t>Flavours of the World (2)</t>
  </si>
  <si>
    <t>BREAKFAST (10)</t>
  </si>
  <si>
    <t>TAST!EZ (4)</t>
  </si>
  <si>
    <t xml:space="preserve">4 (3 NF) </t>
  </si>
  <si>
    <t>Deep'n Delicious (6)</t>
  </si>
  <si>
    <t>3 (2 NF)</t>
  </si>
  <si>
    <t>Pockets (11)</t>
  </si>
  <si>
    <t>Strong Roots (0)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</si>
</sst>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0"/>
      <name val="Arial"/>
      <family val="2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1" fillId="0" borderId="0"/>
  </cellStyleXfs>
  <cellXfs count="15">
    <xf numFmtId="0" fontId="0" fillId="0" borderId="0" xfId="0"/>
    <xf numFmtId="0" fontId="2" fillId="0" borderId="1" xfId="0" applyFont="1" applyBorder="1"/>
    <xf numFmtId="0" fontId="2" fillId="0" borderId="0" xfId="0" applyFont="1"/>
    <xf numFmtId="0" fontId="3" fillId="2" borderId="1" xfId="0" applyFont="1" applyFill="1" applyBorder="1"/>
    <xf numFmtId="0" fontId="2" fillId="3" borderId="1" xfId="0" applyFont="1" applyFill="1" applyBorder="1"/>
    <xf numFmtId="9" fontId="2" fillId="0" borderId="1" xfId="1" applyFont="1" applyBorder="1" applyAlignment="1">
      <alignment horizontal="center"/>
    </xf>
    <xf numFmtId="0" fontId="2" fillId="0" borderId="0" xfId="0" applyFont="1" applyAlignment="1">
      <alignment wrapText="1"/>
    </xf>
    <xf numFmtId="9" fontId="2" fillId="4" borderId="1" xfId="1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9" fontId="2" fillId="5" borderId="1" xfId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3" fillId="0" borderId="0" xfId="0" applyFont="1"/>
    <xf numFmtId="9" fontId="2" fillId="0" borderId="0" xfId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9" fontId="7" fillId="0" borderId="1" xfId="1" applyFont="1" applyBorder="1" applyAlignment="1">
      <alignment horizontal="center"/>
    </xf>
  </cellXfs>
  <cellStyles count="3">
    <cellStyle name="Normal" xfId="0" builtinId="0"/>
    <cellStyle name="Normal 2" xfId="2" xr:uid="{00000000-0005-0000-0000-000001000000}"/>
    <cellStyle name="Percent" xfId="1" builtinId="5"/>
  </cellStyles>
  <dxfs count="276">
    <dxf>
      <font>
        <color rgb="FFFF0000"/>
      </font>
      <fill>
        <patternFill>
          <bgColor rgb="FFFFA7A7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ont>
        <color rgb="FFFF0000"/>
      </font>
      <fill>
        <patternFill>
          <bgColor rgb="FFFFA7A7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ont>
        <color rgb="FFFF0000"/>
      </font>
      <fill>
        <patternFill>
          <bgColor rgb="FFFFA7A7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ont>
        <color rgb="FFFF0000"/>
      </font>
      <fill>
        <patternFill>
          <bgColor rgb="FFFFA7A7"/>
        </patternFill>
      </fill>
    </dxf>
    <dxf>
      <font>
        <color rgb="FFFF0000"/>
      </font>
      <fill>
        <patternFill>
          <bgColor rgb="FFFFA7A7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A7A7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A7A7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rgb="FFFFA7A7"/>
        </patternFill>
      </fill>
    </dxf>
    <dxf>
      <fill>
        <patternFill patternType="none">
          <bgColor auto="1"/>
        </patternFill>
      </fill>
    </dxf>
    <dxf>
      <font>
        <color rgb="FFFF0000"/>
      </font>
      <fill>
        <patternFill>
          <bgColor rgb="FFFFA7A7"/>
        </patternFill>
      </fill>
    </dxf>
    <dxf>
      <fill>
        <patternFill patternType="none">
          <bgColor auto="1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rgb="FFFFA7A7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ont>
        <color rgb="FFFF0000"/>
      </font>
      <fill>
        <patternFill>
          <bgColor rgb="FFFFA7A7"/>
        </patternFill>
      </fill>
    </dxf>
    <dxf>
      <fill>
        <patternFill patternType="none">
          <bgColor auto="1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rgb="FFFFA7A7"/>
        </patternFill>
      </fill>
    </dxf>
    <dxf>
      <fill>
        <patternFill patternType="none">
          <bgColor auto="1"/>
        </patternFill>
      </fill>
    </dxf>
    <dxf>
      <font>
        <color rgb="FFFF0000"/>
      </font>
      <fill>
        <patternFill>
          <bgColor rgb="FFFFA7A7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ont>
        <color rgb="FFFF0000"/>
      </font>
      <fill>
        <patternFill>
          <bgColor rgb="FFFFA7A7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ont>
        <color rgb="FFFF0000"/>
      </font>
      <fill>
        <patternFill>
          <bgColor rgb="FFFFA7A7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rgb="FFFFA7A7"/>
        </patternFill>
      </fill>
    </dxf>
    <dxf>
      <font>
        <color rgb="FFFF0000"/>
      </font>
      <fill>
        <patternFill>
          <bgColor rgb="FFFFA7A7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ont>
        <color rgb="FFFF0000"/>
      </font>
      <fill>
        <patternFill>
          <bgColor rgb="FFFFA7A7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ont>
        <color rgb="FFFF0000"/>
      </font>
      <fill>
        <patternFill>
          <bgColor rgb="FFFFA7A7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ont>
        <color rgb="FFFF0000"/>
      </font>
      <fill>
        <patternFill>
          <bgColor rgb="FFFFA7A7"/>
        </patternFill>
      </fill>
    </dxf>
    <dxf>
      <fill>
        <patternFill patternType="none">
          <bgColor auto="1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rgb="FFFFA7A7"/>
        </patternFill>
      </fill>
    </dxf>
    <dxf>
      <fill>
        <patternFill patternType="none">
          <bgColor auto="1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rgb="FFFFA7A7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ont>
        <color rgb="FFFF0000"/>
      </font>
      <fill>
        <patternFill>
          <bgColor rgb="FFFFA7A7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rgb="FFFFA7A7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ont>
        <color rgb="FFFF0000"/>
      </font>
      <fill>
        <patternFill>
          <bgColor rgb="FFFFA7A7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ont>
        <color rgb="FFFF0000"/>
      </font>
      <fill>
        <patternFill>
          <bgColor rgb="FFFFA7A7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rgb="FFFFA7A7"/>
        </patternFill>
      </fill>
    </dxf>
    <dxf>
      <font>
        <color rgb="FFFF0000"/>
      </font>
      <fill>
        <patternFill>
          <bgColor rgb="FFFFA7A7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A7A7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rgb="FFFFA7A7"/>
        </patternFill>
      </fill>
    </dxf>
    <dxf>
      <font>
        <color rgb="FFFF0000"/>
      </font>
      <fill>
        <patternFill>
          <bgColor rgb="FFFFA7A7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ont>
        <color rgb="FFFF0000"/>
      </font>
      <fill>
        <patternFill>
          <bgColor rgb="FFFFA7A7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ont>
        <color rgb="FFFF0000"/>
      </font>
      <fill>
        <patternFill>
          <bgColor rgb="FFFFA7A7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A7A7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ont>
        <color rgb="FFFF0000"/>
      </font>
      <fill>
        <patternFill>
          <bgColor rgb="FFFFA7A7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rgb="FFFFA7A7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A7A7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rgb="FFFFA7A7"/>
        </patternFill>
      </fill>
    </dxf>
    <dxf>
      <font>
        <color rgb="FFFF0000"/>
      </font>
      <fill>
        <patternFill>
          <bgColor rgb="FFFFA7A7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A7A7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rgb="FFFFA7A7"/>
        </patternFill>
      </fill>
    </dxf>
    <dxf>
      <font>
        <color rgb="FFFF0000"/>
      </font>
      <fill>
        <patternFill>
          <bgColor rgb="FFFFA7A7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rgb="FFFFA7A7"/>
        </patternFill>
      </fill>
    </dxf>
    <dxf>
      <fill>
        <patternFill patternType="none">
          <bgColor auto="1"/>
        </patternFill>
      </fill>
    </dxf>
    <dxf>
      <font>
        <color rgb="FFFF0000"/>
      </font>
      <fill>
        <patternFill>
          <bgColor rgb="FFFFA7A7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A7A7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A7A7"/>
        </patternFill>
      </fill>
    </dxf>
    <dxf>
      <fill>
        <patternFill patternType="none">
          <bgColor auto="1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rgb="FFFFA7A7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rgb="FFFFA7A7"/>
        </patternFill>
      </fill>
    </dxf>
    <dxf>
      <fill>
        <patternFill patternType="none">
          <bgColor auto="1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ont>
        <color rgb="FFFF0000"/>
      </font>
      <fill>
        <patternFill>
          <bgColor rgb="FFFFA7A7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rgb="FFFFA7A7"/>
        </patternFill>
      </fill>
    </dxf>
    <dxf>
      <font>
        <color rgb="FFFF0000"/>
      </font>
      <fill>
        <patternFill>
          <bgColor rgb="FFFFA7A7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ont>
        <color rgb="FFFF0000"/>
      </font>
      <fill>
        <patternFill>
          <bgColor rgb="FFFFA7A7"/>
        </patternFill>
      </fill>
    </dxf>
    <dxf>
      <font>
        <color rgb="FFFF0000"/>
      </font>
      <fill>
        <patternFill>
          <bgColor rgb="FFFFA7A7"/>
        </patternFill>
      </fill>
    </dxf>
    <dxf>
      <fill>
        <patternFill patternType="none">
          <bgColor auto="1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rgb="FFFFA7A7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ont>
        <color rgb="FFFF0000"/>
      </font>
      <fill>
        <patternFill>
          <bgColor rgb="FFFFA7A7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ont>
        <color rgb="FFFF0000"/>
      </font>
      <fill>
        <patternFill>
          <bgColor rgb="FFFFA7A7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ont>
        <color rgb="FFFF0000"/>
      </font>
      <fill>
        <patternFill>
          <bgColor rgb="FFFFA7A7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ont>
        <color rgb="FFFF0000"/>
      </font>
      <fill>
        <patternFill>
          <bgColor rgb="FFFFA7A7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ont>
        <color rgb="FFFF0000"/>
      </font>
      <fill>
        <patternFill>
          <bgColor rgb="FFFFA7A7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ont>
        <color rgb="FFFF0000"/>
      </font>
      <fill>
        <patternFill>
          <bgColor rgb="FFFFA7A7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ont>
        <color rgb="FFFF0000"/>
      </font>
      <fill>
        <patternFill>
          <bgColor rgb="FFFFA7A7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ont>
        <color rgb="FFFF0000"/>
      </font>
      <fill>
        <patternFill>
          <bgColor rgb="FFFFA7A7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ont>
        <color rgb="FFFF0000"/>
      </font>
      <fill>
        <patternFill>
          <bgColor rgb="FFFFA7A7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ont>
        <color rgb="FFFF0000"/>
      </font>
      <fill>
        <patternFill>
          <bgColor rgb="FFFFA7A7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ont>
        <color rgb="FFFF0000"/>
      </font>
      <fill>
        <patternFill>
          <bgColor rgb="FFFFA7A7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ont>
        <color rgb="FFFF0000"/>
      </font>
      <fill>
        <patternFill>
          <bgColor rgb="FFFFA7A7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ont>
        <color rgb="FFFF0000"/>
      </font>
      <fill>
        <patternFill>
          <bgColor rgb="FFFFA7A7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ont>
        <color rgb="FFFF0000"/>
      </font>
      <fill>
        <patternFill>
          <bgColor rgb="FFFFA7A7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ont>
        <color rgb="FFFF0000"/>
      </font>
      <fill>
        <patternFill>
          <bgColor rgb="FFFFA7A7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zoomScaleNormal="100" workbookViewId="0">
      <pane ySplit="1" topLeftCell="A2" activePane="bottomLeft" state="frozen"/>
      <selection pane="bottomLeft" activeCell="H23" sqref="H23"/>
    </sheetView>
  </sheetViews>
  <sheetFormatPr defaultColWidth="8.75" defaultRowHeight="10.15"/>
  <cols>
    <col min="1" max="1" width="13.625" style="2" bestFit="1" customWidth="1"/>
    <col min="2" max="4" width="6.125" style="2" bestFit="1" customWidth="1"/>
    <col min="5" max="5" width="5.25" style="2" bestFit="1" customWidth="1"/>
    <col min="6" max="6" width="9.75" style="2" bestFit="1" customWidth="1"/>
    <col min="7" max="7" width="7.75" style="2" bestFit="1" customWidth="1"/>
    <col min="8" max="9" width="8.75" style="2"/>
    <col min="10" max="10" width="25" style="2" bestFit="1" customWidth="1"/>
    <col min="11" max="16384" width="8.75" style="2"/>
  </cols>
  <sheetData>
    <row r="1" spans="1:10" ht="40.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J1" s="6" t="s">
        <v>7</v>
      </c>
    </row>
    <row r="2" spans="1:10">
      <c r="A2" s="4" t="s">
        <v>8</v>
      </c>
      <c r="B2" s="4">
        <v>5</v>
      </c>
      <c r="C2" s="4">
        <v>7</v>
      </c>
      <c r="D2" s="4" t="s">
        <v>9</v>
      </c>
      <c r="E2" s="4">
        <v>0</v>
      </c>
      <c r="F2" s="4">
        <v>4</v>
      </c>
      <c r="G2" s="4">
        <v>0</v>
      </c>
      <c r="J2" s="6"/>
    </row>
    <row r="3" spans="1:10">
      <c r="A3" s="1" t="s">
        <v>10</v>
      </c>
      <c r="B3" s="5">
        <f>5/5</f>
        <v>1</v>
      </c>
      <c r="C3" s="5">
        <f>6/7</f>
        <v>0.8571428571428571</v>
      </c>
      <c r="D3" s="5">
        <f>4/7</f>
        <v>0.5714285714285714</v>
      </c>
      <c r="E3" s="5"/>
      <c r="F3" s="5">
        <f>4/4</f>
        <v>1</v>
      </c>
      <c r="G3" s="5"/>
    </row>
    <row r="4" spans="1:10">
      <c r="A4" s="1" t="s">
        <v>11</v>
      </c>
      <c r="B4" s="5">
        <f>24/25</f>
        <v>0.96</v>
      </c>
      <c r="C4" s="5">
        <f>18/21</f>
        <v>0.8571428571428571</v>
      </c>
      <c r="D4" s="5">
        <f>19/35</f>
        <v>0.54285714285714282</v>
      </c>
      <c r="E4" s="5"/>
      <c r="F4" s="5"/>
      <c r="G4" s="5"/>
    </row>
    <row r="5" spans="1:10">
      <c r="A5" s="1" t="s">
        <v>12</v>
      </c>
      <c r="B5" s="5">
        <f>5/5</f>
        <v>1</v>
      </c>
      <c r="C5" s="5">
        <f>14/14</f>
        <v>1</v>
      </c>
      <c r="D5" s="5">
        <f>4/7</f>
        <v>0.5714285714285714</v>
      </c>
      <c r="E5" s="5"/>
      <c r="F5" s="5">
        <f>8/8</f>
        <v>1</v>
      </c>
      <c r="G5" s="5"/>
    </row>
    <row r="6" spans="1:10">
      <c r="A6" s="1" t="s">
        <v>13</v>
      </c>
      <c r="B6" s="5">
        <f>20/25</f>
        <v>0.8</v>
      </c>
      <c r="C6" s="5">
        <f>21/21</f>
        <v>1</v>
      </c>
      <c r="D6" s="5">
        <f>12/21</f>
        <v>0.5714285714285714</v>
      </c>
      <c r="E6" s="5"/>
      <c r="F6" s="5">
        <f>4/8</f>
        <v>0.5</v>
      </c>
      <c r="G6" s="5"/>
    </row>
    <row r="7" spans="1:10">
      <c r="A7" s="4" t="s">
        <v>14</v>
      </c>
      <c r="B7" s="4">
        <v>12</v>
      </c>
      <c r="C7" s="4" t="s">
        <v>15</v>
      </c>
      <c r="D7" s="4" t="s">
        <v>16</v>
      </c>
      <c r="E7" s="4">
        <v>10</v>
      </c>
      <c r="F7" s="4">
        <v>9</v>
      </c>
      <c r="G7" s="4">
        <v>0</v>
      </c>
    </row>
    <row r="8" spans="1:10">
      <c r="A8" s="1" t="s">
        <v>10</v>
      </c>
      <c r="B8" s="5">
        <f>12/12</f>
        <v>1</v>
      </c>
      <c r="C8" s="5">
        <f>4/13</f>
        <v>0.30769230769230771</v>
      </c>
      <c r="D8" s="5">
        <f>9/12</f>
        <v>0.75</v>
      </c>
      <c r="E8" s="5">
        <f>10/10</f>
        <v>1</v>
      </c>
      <c r="F8" s="5">
        <f>9/9</f>
        <v>1</v>
      </c>
      <c r="G8" s="5"/>
    </row>
    <row r="9" spans="1:10">
      <c r="A9" s="1" t="s">
        <v>11</v>
      </c>
      <c r="B9" s="5">
        <f>60/60</f>
        <v>1</v>
      </c>
      <c r="C9" s="5">
        <f>9/39</f>
        <v>0.23076923076923078</v>
      </c>
      <c r="D9" s="5">
        <f>45/60</f>
        <v>0.75</v>
      </c>
      <c r="E9" s="5">
        <f>30/30</f>
        <v>1</v>
      </c>
      <c r="F9" s="5"/>
      <c r="G9" s="5"/>
    </row>
    <row r="10" spans="1:10">
      <c r="A10" s="1" t="s">
        <v>12</v>
      </c>
      <c r="B10" s="5">
        <f>12/12</f>
        <v>1</v>
      </c>
      <c r="C10" s="5">
        <f>22/26</f>
        <v>0.84615384615384615</v>
      </c>
      <c r="D10" s="5">
        <f>9/12</f>
        <v>0.75</v>
      </c>
      <c r="E10" s="5">
        <f>10/10</f>
        <v>1</v>
      </c>
      <c r="F10" s="5">
        <f>18/18</f>
        <v>1</v>
      </c>
      <c r="G10" s="5"/>
    </row>
    <row r="11" spans="1:10">
      <c r="A11" s="1" t="s">
        <v>13</v>
      </c>
      <c r="B11" s="5">
        <f>60/60</f>
        <v>1</v>
      </c>
      <c r="C11" s="5">
        <f>33/39</f>
        <v>0.84615384615384615</v>
      </c>
      <c r="D11" s="5">
        <f>27/36</f>
        <v>0.75</v>
      </c>
      <c r="E11" s="5">
        <f>40/40</f>
        <v>1</v>
      </c>
      <c r="F11" s="5">
        <f>18/18</f>
        <v>1</v>
      </c>
      <c r="G11" s="5"/>
    </row>
    <row r="12" spans="1:10">
      <c r="A12" s="4" t="s">
        <v>17</v>
      </c>
      <c r="B12" s="4" t="s">
        <v>18</v>
      </c>
      <c r="C12" s="4">
        <v>6</v>
      </c>
      <c r="D12" s="4" t="s">
        <v>19</v>
      </c>
      <c r="E12" s="4" t="s">
        <v>20</v>
      </c>
      <c r="F12" s="4">
        <v>4</v>
      </c>
      <c r="G12" s="4">
        <v>0</v>
      </c>
    </row>
    <row r="13" spans="1:10">
      <c r="A13" s="1" t="s">
        <v>10</v>
      </c>
      <c r="B13" s="5">
        <f>5/7</f>
        <v>0.7142857142857143</v>
      </c>
      <c r="C13" s="5">
        <f>6/6</f>
        <v>1</v>
      </c>
      <c r="D13" s="5">
        <f>4/6</f>
        <v>0.66666666666666663</v>
      </c>
      <c r="E13" s="5">
        <f>5/6</f>
        <v>0.83333333333333337</v>
      </c>
      <c r="F13" s="5">
        <f>4/4</f>
        <v>1</v>
      </c>
      <c r="G13" s="5"/>
    </row>
    <row r="14" spans="1:10">
      <c r="A14" s="1" t="s">
        <v>11</v>
      </c>
      <c r="B14" s="5">
        <f>25/35</f>
        <v>0.7142857142857143</v>
      </c>
      <c r="C14" s="5">
        <f>18/18</f>
        <v>1</v>
      </c>
      <c r="D14" s="5">
        <f>20/30</f>
        <v>0.66666666666666663</v>
      </c>
      <c r="E14" s="5">
        <f>12/18</f>
        <v>0.66666666666666663</v>
      </c>
      <c r="F14" s="5"/>
      <c r="G14" s="5"/>
    </row>
    <row r="15" spans="1:10">
      <c r="A15" s="1" t="s">
        <v>12</v>
      </c>
      <c r="B15" s="5">
        <f>4/7</f>
        <v>0.5714285714285714</v>
      </c>
      <c r="C15" s="5">
        <f>12/12</f>
        <v>1</v>
      </c>
      <c r="D15" s="5">
        <f>4/6</f>
        <v>0.66666666666666663</v>
      </c>
      <c r="E15" s="5">
        <f>5/6</f>
        <v>0.83333333333333337</v>
      </c>
      <c r="F15" s="5">
        <f>8/8</f>
        <v>1</v>
      </c>
      <c r="G15" s="5"/>
    </row>
    <row r="16" spans="1:10">
      <c r="A16" s="1" t="s">
        <v>13</v>
      </c>
      <c r="B16" s="5">
        <f>25/35</f>
        <v>0.7142857142857143</v>
      </c>
      <c r="C16" s="5">
        <f>18/18</f>
        <v>1</v>
      </c>
      <c r="D16" s="5">
        <f>12/18</f>
        <v>0.66666666666666663</v>
      </c>
      <c r="E16" s="5">
        <f>20/24</f>
        <v>0.83333333333333337</v>
      </c>
      <c r="F16" s="5">
        <f>3/8</f>
        <v>0.375</v>
      </c>
      <c r="G16" s="5"/>
    </row>
    <row r="17" spans="1:7">
      <c r="A17" s="4" t="s">
        <v>21</v>
      </c>
      <c r="B17" s="4" t="s">
        <v>22</v>
      </c>
      <c r="C17" s="4" t="s">
        <v>23</v>
      </c>
      <c r="D17" s="4" t="s">
        <v>24</v>
      </c>
      <c r="E17" s="4" t="s">
        <v>25</v>
      </c>
      <c r="F17" s="4">
        <v>8</v>
      </c>
      <c r="G17" s="4">
        <v>2</v>
      </c>
    </row>
    <row r="18" spans="1:7">
      <c r="A18" s="1" t="s">
        <v>10</v>
      </c>
      <c r="B18" s="5">
        <f>11/12</f>
        <v>0.91666666666666663</v>
      </c>
      <c r="C18" s="5">
        <f>9/10</f>
        <v>0.9</v>
      </c>
      <c r="D18" s="5">
        <f>7/12</f>
        <v>0.58333333333333337</v>
      </c>
      <c r="E18" s="5">
        <f>3/4</f>
        <v>0.75</v>
      </c>
      <c r="F18" s="5">
        <f>8/8</f>
        <v>1</v>
      </c>
      <c r="G18" s="5">
        <f>2/2</f>
        <v>1</v>
      </c>
    </row>
    <row r="19" spans="1:7">
      <c r="A19" s="1" t="s">
        <v>11</v>
      </c>
      <c r="B19" s="5">
        <f>55/60</f>
        <v>0.91666666666666663</v>
      </c>
      <c r="C19" s="5">
        <f>12/30</f>
        <v>0.4</v>
      </c>
      <c r="D19" s="5">
        <f>35/60</f>
        <v>0.58333333333333337</v>
      </c>
      <c r="E19" s="5">
        <f>9/12</f>
        <v>0.75</v>
      </c>
      <c r="F19" s="5"/>
      <c r="G19" s="5">
        <f>10/10</f>
        <v>1</v>
      </c>
    </row>
    <row r="20" spans="1:7">
      <c r="A20" s="1" t="s">
        <v>12</v>
      </c>
      <c r="B20" s="5">
        <f>10/12</f>
        <v>0.83333333333333337</v>
      </c>
      <c r="C20" s="5">
        <f>18/20</f>
        <v>0.9</v>
      </c>
      <c r="D20" s="5">
        <f>7/12</f>
        <v>0.58333333333333337</v>
      </c>
      <c r="E20" s="5">
        <f>3/4</f>
        <v>0.75</v>
      </c>
      <c r="F20" s="5">
        <f>16/16</f>
        <v>1</v>
      </c>
      <c r="G20" s="5"/>
    </row>
    <row r="21" spans="1:7">
      <c r="A21" s="1" t="s">
        <v>13</v>
      </c>
      <c r="B21" s="5">
        <f>44/60</f>
        <v>0.73333333333333328</v>
      </c>
      <c r="C21" s="5">
        <f>24/30</f>
        <v>0.8</v>
      </c>
      <c r="D21" s="5">
        <f>21/36</f>
        <v>0.58333333333333337</v>
      </c>
      <c r="E21" s="5">
        <f>8/16</f>
        <v>0.5</v>
      </c>
      <c r="F21" s="5">
        <f>8/16</f>
        <v>0.5</v>
      </c>
      <c r="G21" s="5">
        <f>2/4</f>
        <v>0.5</v>
      </c>
    </row>
    <row r="22" spans="1:7">
      <c r="A22" s="4" t="s">
        <v>26</v>
      </c>
      <c r="B22" s="4">
        <v>4</v>
      </c>
      <c r="C22" s="4">
        <v>4</v>
      </c>
      <c r="D22" s="4">
        <v>4</v>
      </c>
      <c r="E22" s="4">
        <v>3</v>
      </c>
      <c r="F22" s="4">
        <v>4</v>
      </c>
      <c r="G22" s="4">
        <v>0</v>
      </c>
    </row>
    <row r="23" spans="1:7">
      <c r="A23" s="1" t="s">
        <v>10</v>
      </c>
      <c r="B23" s="5">
        <f>4/4</f>
        <v>1</v>
      </c>
      <c r="C23" s="5">
        <f>4/4</f>
        <v>1</v>
      </c>
      <c r="D23" s="5">
        <f>3/4</f>
        <v>0.75</v>
      </c>
      <c r="E23" s="5">
        <f>3/3</f>
        <v>1</v>
      </c>
      <c r="F23" s="5">
        <f>4/4</f>
        <v>1</v>
      </c>
      <c r="G23" s="5"/>
    </row>
    <row r="24" spans="1:7">
      <c r="A24" s="1" t="s">
        <v>11</v>
      </c>
      <c r="B24" s="5">
        <f>20/20</f>
        <v>1</v>
      </c>
      <c r="C24" s="5">
        <f>12/12</f>
        <v>1</v>
      </c>
      <c r="D24" s="5">
        <f>14/20</f>
        <v>0.7</v>
      </c>
      <c r="E24" s="5">
        <f>6/9</f>
        <v>0.66666666666666663</v>
      </c>
      <c r="F24" s="5"/>
      <c r="G24" s="5"/>
    </row>
    <row r="25" spans="1:7">
      <c r="A25" s="1" t="s">
        <v>12</v>
      </c>
      <c r="B25" s="5">
        <f>4/4</f>
        <v>1</v>
      </c>
      <c r="C25" s="5">
        <f>8/8</f>
        <v>1</v>
      </c>
      <c r="D25" s="5">
        <f>3/4</f>
        <v>0.75</v>
      </c>
      <c r="E25" s="5">
        <f>3/3</f>
        <v>1</v>
      </c>
      <c r="F25" s="5">
        <f>8/8</f>
        <v>1</v>
      </c>
      <c r="G25" s="5"/>
    </row>
    <row r="26" spans="1:7">
      <c r="A26" s="1" t="s">
        <v>13</v>
      </c>
      <c r="B26" s="5">
        <f>16/20</f>
        <v>0.8</v>
      </c>
      <c r="C26" s="5">
        <f>12/12</f>
        <v>1</v>
      </c>
      <c r="D26" s="5">
        <f>9/12</f>
        <v>0.75</v>
      </c>
      <c r="E26" s="5">
        <f>12/12</f>
        <v>1</v>
      </c>
      <c r="F26" s="5">
        <f>0/8</f>
        <v>0</v>
      </c>
      <c r="G26" s="5"/>
    </row>
    <row r="27" spans="1:7">
      <c r="A27" s="4" t="s">
        <v>27</v>
      </c>
      <c r="B27" s="4">
        <v>2</v>
      </c>
      <c r="C27" s="4">
        <v>0</v>
      </c>
      <c r="D27" s="4">
        <v>0</v>
      </c>
      <c r="E27" s="4">
        <v>0</v>
      </c>
      <c r="F27" s="4" t="s">
        <v>28</v>
      </c>
      <c r="G27" s="4">
        <v>0</v>
      </c>
    </row>
    <row r="28" spans="1:7">
      <c r="A28" s="1" t="s">
        <v>10</v>
      </c>
      <c r="B28" s="5">
        <f>2/2</f>
        <v>1</v>
      </c>
      <c r="C28" s="5"/>
      <c r="D28" s="5"/>
      <c r="E28" s="5"/>
      <c r="F28" s="5">
        <f>0/2</f>
        <v>0</v>
      </c>
      <c r="G28" s="5"/>
    </row>
    <row r="29" spans="1:7">
      <c r="A29" s="1" t="s">
        <v>11</v>
      </c>
      <c r="B29" s="5">
        <f>8/10</f>
        <v>0.8</v>
      </c>
      <c r="C29" s="5"/>
      <c r="D29" s="5"/>
      <c r="E29" s="5"/>
      <c r="F29" s="5"/>
      <c r="G29" s="5"/>
    </row>
    <row r="30" spans="1:7">
      <c r="A30" s="1" t="s">
        <v>12</v>
      </c>
      <c r="B30" s="5">
        <f>0/2</f>
        <v>0</v>
      </c>
      <c r="C30" s="5"/>
      <c r="D30" s="5"/>
      <c r="E30" s="5"/>
      <c r="F30" s="5">
        <f>0/4</f>
        <v>0</v>
      </c>
      <c r="G30" s="5"/>
    </row>
    <row r="31" spans="1:7">
      <c r="A31" s="1" t="s">
        <v>13</v>
      </c>
      <c r="B31" s="5">
        <f>8/10</f>
        <v>0.8</v>
      </c>
      <c r="C31" s="5"/>
      <c r="D31" s="5"/>
      <c r="E31" s="5"/>
      <c r="F31" s="5">
        <f>0/4</f>
        <v>0</v>
      </c>
      <c r="G31" s="5"/>
    </row>
    <row r="32" spans="1:7">
      <c r="A32" s="4" t="s">
        <v>29</v>
      </c>
      <c r="B32" s="4"/>
      <c r="C32" s="4"/>
      <c r="D32" s="4"/>
      <c r="E32" s="4"/>
      <c r="F32" s="4"/>
      <c r="G32" s="4"/>
    </row>
    <row r="33" spans="1:7">
      <c r="A33" s="1" t="s">
        <v>10</v>
      </c>
      <c r="B33" s="5"/>
      <c r="C33" s="5"/>
      <c r="D33" s="5"/>
      <c r="E33" s="5"/>
      <c r="F33" s="5"/>
      <c r="G33" s="5"/>
    </row>
    <row r="34" spans="1:7">
      <c r="A34" s="1" t="s">
        <v>11</v>
      </c>
      <c r="B34" s="5"/>
      <c r="C34" s="5"/>
      <c r="D34" s="5"/>
      <c r="E34" s="5"/>
      <c r="F34" s="5"/>
      <c r="G34" s="5"/>
    </row>
    <row r="35" spans="1:7">
      <c r="A35" s="1" t="s">
        <v>12</v>
      </c>
      <c r="B35" s="5"/>
      <c r="C35" s="5"/>
      <c r="D35" s="5"/>
      <c r="E35" s="5"/>
      <c r="F35" s="5"/>
      <c r="G35" s="5"/>
    </row>
    <row r="36" spans="1:7">
      <c r="A36" s="1" t="s">
        <v>13</v>
      </c>
      <c r="B36" s="5"/>
      <c r="C36" s="5"/>
      <c r="D36" s="5"/>
      <c r="E36" s="5"/>
      <c r="F36" s="5"/>
      <c r="G36" s="5"/>
    </row>
  </sheetData>
  <conditionalFormatting sqref="B3:G6">
    <cfRule type="containsBlanks" dxfId="275" priority="30">
      <formula>LEN(TRIM(B3))=0</formula>
    </cfRule>
    <cfRule type="cellIs" dxfId="274" priority="31" operator="greaterThanOrEqual">
      <formula>0.95</formula>
    </cfRule>
    <cfRule type="cellIs" dxfId="273" priority="32" operator="greaterThanOrEqual">
      <formula>0.7</formula>
    </cfRule>
    <cfRule type="cellIs" dxfId="272" priority="33" operator="between">
      <formula>0</formula>
      <formula>0.7</formula>
    </cfRule>
  </conditionalFormatting>
  <conditionalFormatting sqref="B8:G11">
    <cfRule type="containsBlanks" dxfId="271" priority="21">
      <formula>LEN(TRIM(B8))=0</formula>
    </cfRule>
    <cfRule type="cellIs" dxfId="270" priority="22" operator="greaterThanOrEqual">
      <formula>0.95</formula>
    </cfRule>
    <cfRule type="cellIs" dxfId="269" priority="23" operator="greaterThanOrEqual">
      <formula>0.7</formula>
    </cfRule>
    <cfRule type="cellIs" dxfId="268" priority="24" operator="between">
      <formula>0</formula>
      <formula>0.7</formula>
    </cfRule>
  </conditionalFormatting>
  <conditionalFormatting sqref="B13:G16">
    <cfRule type="containsBlanks" dxfId="267" priority="17">
      <formula>LEN(TRIM(B13))=0</formula>
    </cfRule>
    <cfRule type="cellIs" dxfId="266" priority="18" operator="greaterThanOrEqual">
      <formula>0.95</formula>
    </cfRule>
    <cfRule type="cellIs" dxfId="265" priority="19" operator="greaterThanOrEqual">
      <formula>0.7</formula>
    </cfRule>
    <cfRule type="cellIs" dxfId="264" priority="20" operator="between">
      <formula>0</formula>
      <formula>0.7</formula>
    </cfRule>
  </conditionalFormatting>
  <conditionalFormatting sqref="B18:G21">
    <cfRule type="containsBlanks" dxfId="263" priority="13">
      <formula>LEN(TRIM(B18))=0</formula>
    </cfRule>
    <cfRule type="cellIs" dxfId="262" priority="14" operator="greaterThanOrEqual">
      <formula>0.95</formula>
    </cfRule>
    <cfRule type="cellIs" dxfId="261" priority="15" operator="greaterThanOrEqual">
      <formula>0.7</formula>
    </cfRule>
    <cfRule type="cellIs" dxfId="260" priority="16" operator="between">
      <formula>0</formula>
      <formula>0.7</formula>
    </cfRule>
  </conditionalFormatting>
  <conditionalFormatting sqref="B23:G26">
    <cfRule type="containsBlanks" dxfId="259" priority="9">
      <formula>LEN(TRIM(B23))=0</formula>
    </cfRule>
    <cfRule type="cellIs" dxfId="258" priority="10" operator="greaterThanOrEqual">
      <formula>0.95</formula>
    </cfRule>
    <cfRule type="cellIs" dxfId="257" priority="11" operator="greaterThanOrEqual">
      <formula>0.7</formula>
    </cfRule>
    <cfRule type="cellIs" dxfId="256" priority="12" operator="between">
      <formula>0</formula>
      <formula>0.7</formula>
    </cfRule>
  </conditionalFormatting>
  <conditionalFormatting sqref="B28:G31">
    <cfRule type="containsBlanks" dxfId="255" priority="5">
      <formula>LEN(TRIM(B28))=0</formula>
    </cfRule>
    <cfRule type="cellIs" dxfId="254" priority="6" operator="greaterThanOrEqual">
      <formula>0.95</formula>
    </cfRule>
    <cfRule type="cellIs" dxfId="253" priority="7" operator="greaterThanOrEqual">
      <formula>0.7</formula>
    </cfRule>
    <cfRule type="cellIs" dxfId="252" priority="8" operator="between">
      <formula>0</formula>
      <formula>0.7</formula>
    </cfRule>
  </conditionalFormatting>
  <conditionalFormatting sqref="B33:G36">
    <cfRule type="containsBlanks" dxfId="251" priority="1">
      <formula>LEN(TRIM(B33))=0</formula>
    </cfRule>
    <cfRule type="cellIs" dxfId="250" priority="2" operator="greaterThanOrEqual">
      <formula>0.95</formula>
    </cfRule>
    <cfRule type="cellIs" dxfId="249" priority="3" operator="greaterThanOrEqual">
      <formula>0.7</formula>
    </cfRule>
    <cfRule type="cellIs" dxfId="248" priority="4" operator="between">
      <formula>0</formula>
      <formula>0.7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1"/>
  <sheetViews>
    <sheetView workbookViewId="0">
      <pane ySplit="1" topLeftCell="A2" activePane="bottomLeft" state="frozen"/>
      <selection pane="bottomLeft" activeCell="A37" sqref="A37"/>
    </sheetView>
  </sheetViews>
  <sheetFormatPr defaultColWidth="8.75" defaultRowHeight="10.15"/>
  <cols>
    <col min="1" max="1" width="13.625" style="2" bestFit="1" customWidth="1"/>
    <col min="2" max="4" width="6.125" style="2" bestFit="1" customWidth="1"/>
    <col min="5" max="5" width="5.25" style="2" bestFit="1" customWidth="1"/>
    <col min="6" max="6" width="9.75" style="2" bestFit="1" customWidth="1"/>
    <col min="7" max="7" width="7.75" style="2" bestFit="1" customWidth="1"/>
    <col min="8" max="9" width="8.75" style="2"/>
    <col min="10" max="10" width="25" style="2" bestFit="1" customWidth="1"/>
    <col min="11" max="16384" width="8.75" style="2"/>
  </cols>
  <sheetData>
    <row r="1" spans="1:10" ht="40.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J1" s="6" t="s">
        <v>7</v>
      </c>
    </row>
    <row r="2" spans="1:10">
      <c r="A2" s="4" t="s">
        <v>8</v>
      </c>
      <c r="B2" s="4">
        <v>5</v>
      </c>
      <c r="C2" s="4">
        <v>7</v>
      </c>
      <c r="D2" s="4" t="s">
        <v>9</v>
      </c>
      <c r="E2" s="4">
        <v>0</v>
      </c>
      <c r="F2" s="4">
        <v>4</v>
      </c>
      <c r="G2" s="4">
        <v>0</v>
      </c>
      <c r="J2" s="6"/>
    </row>
    <row r="3" spans="1:10">
      <c r="A3" s="1" t="s">
        <v>10</v>
      </c>
      <c r="B3" s="5">
        <f>5/5</f>
        <v>1</v>
      </c>
      <c r="C3" s="5">
        <f>7/7</f>
        <v>1</v>
      </c>
      <c r="D3" s="5">
        <f>4/4</f>
        <v>1</v>
      </c>
      <c r="E3" s="5"/>
      <c r="F3" s="5">
        <f>4/4</f>
        <v>1</v>
      </c>
      <c r="G3" s="5"/>
    </row>
    <row r="4" spans="1:10">
      <c r="A4" s="1" t="s">
        <v>11</v>
      </c>
      <c r="B4" s="5">
        <f>25/25</f>
        <v>1</v>
      </c>
      <c r="C4" s="5">
        <f>21/21</f>
        <v>1</v>
      </c>
      <c r="D4" s="5">
        <f>19/20</f>
        <v>0.95</v>
      </c>
      <c r="E4" s="5"/>
      <c r="F4" s="5"/>
      <c r="G4" s="5"/>
    </row>
    <row r="5" spans="1:10">
      <c r="A5" s="1" t="s">
        <v>12</v>
      </c>
      <c r="B5" s="5">
        <f>5/5</f>
        <v>1</v>
      </c>
      <c r="C5" s="5">
        <f>14/14</f>
        <v>1</v>
      </c>
      <c r="D5" s="5">
        <f>4/4</f>
        <v>1</v>
      </c>
      <c r="E5" s="5"/>
      <c r="F5" s="5"/>
      <c r="G5" s="5"/>
    </row>
    <row r="6" spans="1:10">
      <c r="A6" s="1" t="s">
        <v>13</v>
      </c>
      <c r="B6" s="5">
        <f>25/25</f>
        <v>1</v>
      </c>
      <c r="C6" s="5">
        <f>21/21</f>
        <v>1</v>
      </c>
      <c r="D6" s="5">
        <f>12/12</f>
        <v>1</v>
      </c>
      <c r="E6" s="5"/>
      <c r="F6" s="5">
        <f>4/4</f>
        <v>1</v>
      </c>
      <c r="G6" s="5"/>
    </row>
    <row r="7" spans="1:10">
      <c r="A7" s="4" t="s">
        <v>14</v>
      </c>
      <c r="B7" s="4">
        <v>13</v>
      </c>
      <c r="C7" s="4" t="s">
        <v>15</v>
      </c>
      <c r="D7" s="4" t="s">
        <v>16</v>
      </c>
      <c r="E7" s="4">
        <v>10</v>
      </c>
      <c r="F7" s="4">
        <v>9</v>
      </c>
      <c r="G7" s="4">
        <v>0</v>
      </c>
    </row>
    <row r="8" spans="1:10">
      <c r="A8" s="1" t="s">
        <v>10</v>
      </c>
      <c r="B8" s="5">
        <f>13/13</f>
        <v>1</v>
      </c>
      <c r="C8" s="5">
        <f>11/11</f>
        <v>1</v>
      </c>
      <c r="D8" s="5">
        <f>9/9</f>
        <v>1</v>
      </c>
      <c r="E8" s="5">
        <f>10/10</f>
        <v>1</v>
      </c>
      <c r="F8" s="5">
        <f>9/9</f>
        <v>1</v>
      </c>
      <c r="G8" s="5"/>
    </row>
    <row r="9" spans="1:10">
      <c r="A9" s="1" t="s">
        <v>11</v>
      </c>
      <c r="B9" s="5">
        <f>60/65</f>
        <v>0.92307692307692313</v>
      </c>
      <c r="C9" s="5">
        <f>33/33</f>
        <v>1</v>
      </c>
      <c r="D9" s="5">
        <f>45/45</f>
        <v>1</v>
      </c>
      <c r="E9" s="5">
        <f>30/30</f>
        <v>1</v>
      </c>
      <c r="F9" s="5"/>
      <c r="G9" s="5"/>
    </row>
    <row r="10" spans="1:10">
      <c r="A10" s="1" t="s">
        <v>12</v>
      </c>
      <c r="B10" s="5">
        <f>13/13</f>
        <v>1</v>
      </c>
      <c r="C10" s="5">
        <f>22/22</f>
        <v>1</v>
      </c>
      <c r="D10" s="5">
        <f>9/9</f>
        <v>1</v>
      </c>
      <c r="E10" s="5">
        <f>10/10</f>
        <v>1</v>
      </c>
      <c r="F10" s="5"/>
      <c r="G10" s="5"/>
    </row>
    <row r="11" spans="1:10">
      <c r="A11" s="1" t="s">
        <v>13</v>
      </c>
      <c r="B11" s="5">
        <f>64/65</f>
        <v>0.98461538461538467</v>
      </c>
      <c r="C11" s="5">
        <f>33/33</f>
        <v>1</v>
      </c>
      <c r="D11" s="5">
        <f>27/27</f>
        <v>1</v>
      </c>
      <c r="E11" s="5">
        <f>40/40</f>
        <v>1</v>
      </c>
      <c r="F11" s="5">
        <f>9/9</f>
        <v>1</v>
      </c>
      <c r="G11" s="5"/>
    </row>
    <row r="12" spans="1:10">
      <c r="A12" s="4" t="s">
        <v>17</v>
      </c>
      <c r="B12" s="4" t="s">
        <v>18</v>
      </c>
      <c r="C12" s="4">
        <v>6</v>
      </c>
      <c r="D12" s="4" t="s">
        <v>19</v>
      </c>
      <c r="E12" s="4" t="s">
        <v>20</v>
      </c>
      <c r="F12" s="4">
        <v>4</v>
      </c>
      <c r="G12" s="4">
        <v>0</v>
      </c>
    </row>
    <row r="13" spans="1:10">
      <c r="A13" s="1" t="s">
        <v>10</v>
      </c>
      <c r="B13" s="5">
        <f>5/5</f>
        <v>1</v>
      </c>
      <c r="C13" s="5">
        <f>6/6</f>
        <v>1</v>
      </c>
      <c r="D13" s="5">
        <f>4/4</f>
        <v>1</v>
      </c>
      <c r="E13" s="5">
        <f>5/5</f>
        <v>1</v>
      </c>
      <c r="F13" s="5">
        <f>4/4</f>
        <v>1</v>
      </c>
      <c r="G13" s="5"/>
    </row>
    <row r="14" spans="1:10">
      <c r="A14" s="1" t="s">
        <v>11</v>
      </c>
      <c r="B14" s="5">
        <f>25/25</f>
        <v>1</v>
      </c>
      <c r="C14" s="5">
        <f>18/18</f>
        <v>1</v>
      </c>
      <c r="D14" s="5">
        <f>20/20</f>
        <v>1</v>
      </c>
      <c r="E14" s="5">
        <f>12/15</f>
        <v>0.8</v>
      </c>
      <c r="F14" s="5"/>
      <c r="G14" s="5"/>
    </row>
    <row r="15" spans="1:10">
      <c r="A15" s="1" t="s">
        <v>12</v>
      </c>
      <c r="B15" s="5">
        <f>4/5</f>
        <v>0.8</v>
      </c>
      <c r="C15" s="5">
        <f>12/12</f>
        <v>1</v>
      </c>
      <c r="D15" s="5">
        <f>4/4</f>
        <v>1</v>
      </c>
      <c r="E15" s="5">
        <f>5/5</f>
        <v>1</v>
      </c>
      <c r="F15" s="5"/>
      <c r="G15" s="5"/>
    </row>
    <row r="16" spans="1:10">
      <c r="A16" s="1" t="s">
        <v>13</v>
      </c>
      <c r="B16" s="5">
        <f>24/25</f>
        <v>0.96</v>
      </c>
      <c r="C16" s="5">
        <f>18/18</f>
        <v>1</v>
      </c>
      <c r="D16" s="5">
        <f>12/12</f>
        <v>1</v>
      </c>
      <c r="E16" s="5">
        <f>20/20</f>
        <v>1</v>
      </c>
      <c r="F16" s="5">
        <f>4/4</f>
        <v>1</v>
      </c>
      <c r="G16" s="5"/>
    </row>
    <row r="17" spans="1:7">
      <c r="A17" s="4" t="s">
        <v>21</v>
      </c>
      <c r="B17" s="4" t="s">
        <v>22</v>
      </c>
      <c r="C17" s="4" t="s">
        <v>23</v>
      </c>
      <c r="D17" s="4" t="s">
        <v>24</v>
      </c>
      <c r="E17" s="4" t="s">
        <v>30</v>
      </c>
      <c r="F17" s="4">
        <v>8</v>
      </c>
      <c r="G17" s="4">
        <v>2</v>
      </c>
    </row>
    <row r="18" spans="1:7">
      <c r="A18" s="1" t="s">
        <v>10</v>
      </c>
      <c r="B18" s="5">
        <f>11/11</f>
        <v>1</v>
      </c>
      <c r="C18" s="5">
        <f>9/9</f>
        <v>1</v>
      </c>
      <c r="D18" s="5">
        <f>7/7</f>
        <v>1</v>
      </c>
      <c r="E18" s="5">
        <f>5/7</f>
        <v>0.7142857142857143</v>
      </c>
      <c r="F18" s="5">
        <f>8/8</f>
        <v>1</v>
      </c>
      <c r="G18" s="5">
        <f>2/2</f>
        <v>1</v>
      </c>
    </row>
    <row r="19" spans="1:7">
      <c r="A19" s="1" t="s">
        <v>11</v>
      </c>
      <c r="B19" s="5">
        <f>55/55</f>
        <v>1</v>
      </c>
      <c r="C19" s="5">
        <f>27/27</f>
        <v>1</v>
      </c>
      <c r="D19" s="5">
        <f>35/35</f>
        <v>1</v>
      </c>
      <c r="E19" s="5">
        <f>13/21</f>
        <v>0.61904761904761907</v>
      </c>
      <c r="F19" s="5"/>
      <c r="G19" s="5">
        <f>10/10</f>
        <v>1</v>
      </c>
    </row>
    <row r="20" spans="1:7">
      <c r="A20" s="1" t="s">
        <v>12</v>
      </c>
      <c r="B20" s="5">
        <f>10/11</f>
        <v>0.90909090909090906</v>
      </c>
      <c r="C20" s="5">
        <f>18/18</f>
        <v>1</v>
      </c>
      <c r="D20" s="5">
        <f>7/7</f>
        <v>1</v>
      </c>
      <c r="E20" s="5">
        <f>7/7</f>
        <v>1</v>
      </c>
      <c r="F20" s="5"/>
      <c r="G20" s="5"/>
    </row>
    <row r="21" spans="1:7">
      <c r="A21" s="1" t="s">
        <v>13</v>
      </c>
      <c r="B21" s="5">
        <f>49/55</f>
        <v>0.89090909090909087</v>
      </c>
      <c r="C21" s="5">
        <f>25/27</f>
        <v>0.92592592592592593</v>
      </c>
      <c r="D21" s="5">
        <f>21/21</f>
        <v>1</v>
      </c>
      <c r="E21" s="5">
        <f>23/28</f>
        <v>0.8214285714285714</v>
      </c>
      <c r="F21" s="5">
        <f>8/8</f>
        <v>1</v>
      </c>
      <c r="G21" s="5">
        <f>4/4</f>
        <v>1</v>
      </c>
    </row>
    <row r="22" spans="1:7">
      <c r="A22" s="4" t="s">
        <v>26</v>
      </c>
      <c r="B22" s="4">
        <v>4</v>
      </c>
      <c r="C22" s="4">
        <v>4</v>
      </c>
      <c r="D22" s="4">
        <v>4</v>
      </c>
      <c r="E22" s="4">
        <v>3</v>
      </c>
      <c r="F22" s="4">
        <v>4</v>
      </c>
      <c r="G22" s="4">
        <v>0</v>
      </c>
    </row>
    <row r="23" spans="1:7">
      <c r="A23" s="1" t="s">
        <v>10</v>
      </c>
      <c r="B23" s="5">
        <f>4/4</f>
        <v>1</v>
      </c>
      <c r="C23" s="5">
        <f>4/4</f>
        <v>1</v>
      </c>
      <c r="D23" s="5">
        <f>3/4</f>
        <v>0.75</v>
      </c>
      <c r="E23" s="5">
        <f>3/3</f>
        <v>1</v>
      </c>
      <c r="F23" s="5">
        <f>4/4</f>
        <v>1</v>
      </c>
      <c r="G23" s="5"/>
    </row>
    <row r="24" spans="1:7">
      <c r="A24" s="1" t="s">
        <v>11</v>
      </c>
      <c r="B24" s="5">
        <f>20/20</f>
        <v>1</v>
      </c>
      <c r="C24" s="5">
        <f>12/12</f>
        <v>1</v>
      </c>
      <c r="D24" s="5">
        <f>15/20</f>
        <v>0.75</v>
      </c>
      <c r="E24" s="5">
        <f>6/9</f>
        <v>0.66666666666666663</v>
      </c>
      <c r="F24" s="5"/>
      <c r="G24" s="5"/>
    </row>
    <row r="25" spans="1:7">
      <c r="A25" s="1" t="s">
        <v>12</v>
      </c>
      <c r="B25" s="5">
        <f>4/4</f>
        <v>1</v>
      </c>
      <c r="C25" s="5">
        <f>8/8</f>
        <v>1</v>
      </c>
      <c r="D25" s="5">
        <f>3/4</f>
        <v>0.75</v>
      </c>
      <c r="E25" s="5">
        <f>3/3</f>
        <v>1</v>
      </c>
      <c r="F25" s="5"/>
      <c r="G25" s="5"/>
    </row>
    <row r="26" spans="1:7">
      <c r="A26" s="1" t="s">
        <v>13</v>
      </c>
      <c r="B26" s="5">
        <f>20/20</f>
        <v>1</v>
      </c>
      <c r="C26" s="5">
        <f>12/12</f>
        <v>1</v>
      </c>
      <c r="D26" s="5">
        <f>12/12</f>
        <v>1</v>
      </c>
      <c r="E26" s="5">
        <f>12/12</f>
        <v>1</v>
      </c>
      <c r="F26" s="5">
        <f>4/4</f>
        <v>1</v>
      </c>
      <c r="G26" s="5"/>
    </row>
    <row r="27" spans="1:7">
      <c r="A27" s="4" t="s">
        <v>27</v>
      </c>
      <c r="B27" s="4">
        <v>2</v>
      </c>
      <c r="C27" s="4">
        <v>0</v>
      </c>
      <c r="D27" s="4">
        <v>0</v>
      </c>
      <c r="E27" s="4">
        <v>0</v>
      </c>
      <c r="F27" s="4">
        <v>2</v>
      </c>
      <c r="G27" s="4">
        <v>0</v>
      </c>
    </row>
    <row r="28" spans="1:7">
      <c r="A28" s="1" t="s">
        <v>10</v>
      </c>
      <c r="B28" s="5">
        <f>2/2</f>
        <v>1</v>
      </c>
      <c r="C28" s="5"/>
      <c r="D28" s="5"/>
      <c r="E28" s="5"/>
      <c r="F28" s="5">
        <f>2/2</f>
        <v>1</v>
      </c>
      <c r="G28" s="5"/>
    </row>
    <row r="29" spans="1:7">
      <c r="A29" s="1" t="s">
        <v>11</v>
      </c>
      <c r="B29" s="5">
        <f>8/8</f>
        <v>1</v>
      </c>
      <c r="C29" s="5"/>
      <c r="D29" s="5"/>
      <c r="E29" s="5"/>
      <c r="F29" s="5"/>
      <c r="G29" s="5"/>
    </row>
    <row r="30" spans="1:7">
      <c r="A30" s="1" t="s">
        <v>12</v>
      </c>
      <c r="B30" s="5">
        <f>0/2</f>
        <v>0</v>
      </c>
      <c r="C30" s="5"/>
      <c r="D30" s="5"/>
      <c r="E30" s="5"/>
      <c r="F30" s="5"/>
      <c r="G30" s="5"/>
    </row>
    <row r="31" spans="1:7">
      <c r="A31" s="1" t="s">
        <v>13</v>
      </c>
      <c r="B31" s="5">
        <f>10/10</f>
        <v>1</v>
      </c>
      <c r="C31" s="5"/>
      <c r="D31" s="5"/>
      <c r="E31" s="5"/>
      <c r="F31" s="5">
        <f>2/2</f>
        <v>1</v>
      </c>
      <c r="G31" s="5"/>
    </row>
    <row r="32" spans="1:7">
      <c r="A32" s="4" t="s">
        <v>29</v>
      </c>
      <c r="B32" s="4"/>
      <c r="C32" s="4"/>
      <c r="D32" s="4"/>
      <c r="E32" s="4"/>
      <c r="F32" s="4"/>
      <c r="G32" s="4"/>
    </row>
    <row r="33" spans="1:7">
      <c r="A33" s="1" t="s">
        <v>10</v>
      </c>
      <c r="B33" s="5"/>
      <c r="C33" s="5"/>
      <c r="D33" s="5"/>
      <c r="E33" s="5"/>
      <c r="F33" s="5"/>
      <c r="G33" s="5"/>
    </row>
    <row r="34" spans="1:7">
      <c r="A34" s="1" t="s">
        <v>11</v>
      </c>
      <c r="B34" s="5"/>
      <c r="C34" s="5"/>
      <c r="D34" s="5"/>
      <c r="E34" s="5"/>
      <c r="F34" s="5"/>
      <c r="G34" s="5"/>
    </row>
    <row r="35" spans="1:7">
      <c r="A35" s="1" t="s">
        <v>12</v>
      </c>
      <c r="B35" s="5"/>
      <c r="C35" s="5"/>
      <c r="D35" s="5"/>
      <c r="E35" s="5"/>
      <c r="F35" s="5"/>
      <c r="G35" s="5"/>
    </row>
    <row r="36" spans="1:7">
      <c r="A36" s="1" t="s">
        <v>13</v>
      </c>
      <c r="B36" s="5"/>
      <c r="C36" s="5"/>
      <c r="D36" s="5"/>
      <c r="E36" s="5"/>
      <c r="F36" s="5"/>
      <c r="G36" s="5"/>
    </row>
    <row r="37" spans="1:7">
      <c r="A37" s="4" t="s">
        <v>31</v>
      </c>
      <c r="B37" s="4"/>
      <c r="C37" s="4"/>
      <c r="D37" s="4"/>
      <c r="E37" s="4"/>
      <c r="F37" s="4"/>
      <c r="G37" s="4"/>
    </row>
    <row r="38" spans="1:7">
      <c r="A38" s="1" t="s">
        <v>10</v>
      </c>
      <c r="B38" s="5"/>
      <c r="C38" s="5"/>
      <c r="D38" s="5"/>
      <c r="E38" s="5"/>
      <c r="F38" s="5"/>
      <c r="G38" s="5"/>
    </row>
    <row r="39" spans="1:7">
      <c r="A39" s="1" t="s">
        <v>11</v>
      </c>
      <c r="B39" s="5"/>
      <c r="C39" s="5"/>
      <c r="D39" s="5"/>
      <c r="E39" s="5"/>
      <c r="F39" s="5"/>
      <c r="G39" s="5"/>
    </row>
    <row r="40" spans="1:7">
      <c r="A40" s="1" t="s">
        <v>12</v>
      </c>
      <c r="B40" s="5"/>
      <c r="C40" s="5"/>
      <c r="D40" s="5"/>
      <c r="E40" s="5"/>
      <c r="F40" s="5"/>
      <c r="G40" s="5"/>
    </row>
    <row r="41" spans="1:7">
      <c r="A41" s="1" t="s">
        <v>13</v>
      </c>
      <c r="B41" s="5"/>
      <c r="C41" s="5"/>
      <c r="D41" s="5"/>
      <c r="E41" s="5"/>
      <c r="F41" s="5"/>
      <c r="G41" s="5"/>
    </row>
  </sheetData>
  <conditionalFormatting sqref="B3:G6">
    <cfRule type="containsBlanks" dxfId="247" priority="33">
      <formula>LEN(TRIM(B3))=0</formula>
    </cfRule>
    <cfRule type="cellIs" dxfId="246" priority="34" operator="greaterThanOrEqual">
      <formula>0.95</formula>
    </cfRule>
    <cfRule type="cellIs" dxfId="245" priority="35" operator="greaterThanOrEqual">
      <formula>0.7</formula>
    </cfRule>
    <cfRule type="cellIs" dxfId="244" priority="36" operator="between">
      <formula>0</formula>
      <formula>0.7</formula>
    </cfRule>
  </conditionalFormatting>
  <conditionalFormatting sqref="B8:G11">
    <cfRule type="containsBlanks" dxfId="243" priority="1">
      <formula>LEN(TRIM(B8))=0</formula>
    </cfRule>
    <cfRule type="cellIs" dxfId="242" priority="2" operator="greaterThanOrEqual">
      <formula>0.95</formula>
    </cfRule>
    <cfRule type="cellIs" dxfId="241" priority="3" operator="greaterThanOrEqual">
      <formula>0.7</formula>
    </cfRule>
    <cfRule type="cellIs" dxfId="240" priority="4" operator="between">
      <formula>0</formula>
      <formula>0.7</formula>
    </cfRule>
  </conditionalFormatting>
  <conditionalFormatting sqref="B13:G16">
    <cfRule type="containsBlanks" dxfId="239" priority="25">
      <formula>LEN(TRIM(B13))=0</formula>
    </cfRule>
    <cfRule type="cellIs" dxfId="238" priority="26" operator="greaterThanOrEqual">
      <formula>0.95</formula>
    </cfRule>
    <cfRule type="cellIs" dxfId="237" priority="27" operator="greaterThanOrEqual">
      <formula>0.7</formula>
    </cfRule>
    <cfRule type="cellIs" dxfId="236" priority="28" operator="between">
      <formula>0</formula>
      <formula>0.7</formula>
    </cfRule>
  </conditionalFormatting>
  <conditionalFormatting sqref="B18:G21">
    <cfRule type="containsBlanks" dxfId="235" priority="21">
      <formula>LEN(TRIM(B18))=0</formula>
    </cfRule>
    <cfRule type="cellIs" dxfId="234" priority="22" operator="greaterThanOrEqual">
      <formula>0.95</formula>
    </cfRule>
    <cfRule type="cellIs" dxfId="233" priority="23" operator="greaterThanOrEqual">
      <formula>0.7</formula>
    </cfRule>
    <cfRule type="cellIs" dxfId="232" priority="24" operator="between">
      <formula>0</formula>
      <formula>0.7</formula>
    </cfRule>
  </conditionalFormatting>
  <conditionalFormatting sqref="B23:G26">
    <cfRule type="containsBlanks" dxfId="231" priority="17">
      <formula>LEN(TRIM(B23))=0</formula>
    </cfRule>
    <cfRule type="cellIs" dxfId="230" priority="18" operator="greaterThanOrEqual">
      <formula>0.95</formula>
    </cfRule>
    <cfRule type="cellIs" dxfId="229" priority="19" operator="greaterThanOrEqual">
      <formula>0.7</formula>
    </cfRule>
    <cfRule type="cellIs" dxfId="228" priority="20" operator="between">
      <formula>0</formula>
      <formula>0.7</formula>
    </cfRule>
  </conditionalFormatting>
  <conditionalFormatting sqref="B28:G31">
    <cfRule type="containsBlanks" dxfId="227" priority="13">
      <formula>LEN(TRIM(B28))=0</formula>
    </cfRule>
    <cfRule type="cellIs" dxfId="226" priority="14" operator="greaterThanOrEqual">
      <formula>0.95</formula>
    </cfRule>
    <cfRule type="cellIs" dxfId="225" priority="15" operator="greaterThanOrEqual">
      <formula>0.7</formula>
    </cfRule>
    <cfRule type="cellIs" dxfId="224" priority="16" operator="between">
      <formula>0</formula>
      <formula>0.7</formula>
    </cfRule>
  </conditionalFormatting>
  <conditionalFormatting sqref="B33:G36">
    <cfRule type="containsBlanks" dxfId="223" priority="9">
      <formula>LEN(TRIM(B33))=0</formula>
    </cfRule>
    <cfRule type="cellIs" dxfId="222" priority="10" operator="greaterThanOrEqual">
      <formula>0.95</formula>
    </cfRule>
    <cfRule type="cellIs" dxfId="221" priority="11" operator="greaterThanOrEqual">
      <formula>0.7</formula>
    </cfRule>
    <cfRule type="cellIs" dxfId="220" priority="12" operator="between">
      <formula>0</formula>
      <formula>0.7</formula>
    </cfRule>
  </conditionalFormatting>
  <conditionalFormatting sqref="B38:G41">
    <cfRule type="containsBlanks" dxfId="219" priority="5">
      <formula>LEN(TRIM(B38))=0</formula>
    </cfRule>
    <cfRule type="cellIs" dxfId="218" priority="6" operator="greaterThanOrEqual">
      <formula>0.95</formula>
    </cfRule>
    <cfRule type="cellIs" dxfId="217" priority="7" operator="greaterThanOrEqual">
      <formula>0.7</formula>
    </cfRule>
    <cfRule type="cellIs" dxfId="216" priority="8" operator="between">
      <formula>0</formula>
      <formula>0.7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6"/>
  <sheetViews>
    <sheetView zoomScaleNormal="100" workbookViewId="0">
      <pane ySplit="1" topLeftCell="A20" activePane="bottomLeft" state="frozen"/>
      <selection pane="bottomLeft" activeCell="H41" sqref="H41"/>
    </sheetView>
  </sheetViews>
  <sheetFormatPr defaultColWidth="8.75" defaultRowHeight="10.15"/>
  <cols>
    <col min="1" max="1" width="13.625" style="2" bestFit="1" customWidth="1"/>
    <col min="2" max="5" width="6.125" style="2" bestFit="1" customWidth="1"/>
    <col min="6" max="6" width="9.75" style="2" bestFit="1" customWidth="1"/>
    <col min="7" max="7" width="7.75" style="2" bestFit="1" customWidth="1"/>
    <col min="8" max="8" width="27.75" style="2" bestFit="1" customWidth="1"/>
    <col min="9" max="9" width="8.75" style="2"/>
    <col min="10" max="10" width="25" style="2" bestFit="1" customWidth="1"/>
    <col min="11" max="16384" width="8.75" style="2"/>
  </cols>
  <sheetData>
    <row r="1" spans="1:10" ht="40.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J1" s="6" t="s">
        <v>7</v>
      </c>
    </row>
    <row r="2" spans="1:10">
      <c r="A2" s="4" t="s">
        <v>8</v>
      </c>
      <c r="B2" s="4">
        <v>7</v>
      </c>
      <c r="C2" s="4">
        <v>7</v>
      </c>
      <c r="D2" s="4" t="s">
        <v>32</v>
      </c>
      <c r="E2" s="4">
        <v>0</v>
      </c>
      <c r="F2" s="4">
        <v>4</v>
      </c>
      <c r="G2" s="4">
        <v>0</v>
      </c>
      <c r="J2" s="6"/>
    </row>
    <row r="3" spans="1:10">
      <c r="A3" s="1" t="s">
        <v>10</v>
      </c>
      <c r="B3" s="5">
        <f>7/7</f>
        <v>1</v>
      </c>
      <c r="C3" s="5">
        <f>7/7</f>
        <v>1</v>
      </c>
      <c r="D3" s="5">
        <f>6/6</f>
        <v>1</v>
      </c>
      <c r="E3" s="5"/>
      <c r="F3" s="5">
        <f>4/4</f>
        <v>1</v>
      </c>
      <c r="G3" s="5"/>
    </row>
    <row r="4" spans="1:10">
      <c r="A4" s="1" t="s">
        <v>11</v>
      </c>
      <c r="B4" s="5">
        <f>35/35</f>
        <v>1</v>
      </c>
      <c r="C4" s="5">
        <f>20/21</f>
        <v>0.95238095238095233</v>
      </c>
      <c r="D4" s="5">
        <f>30/30</f>
        <v>1</v>
      </c>
      <c r="E4" s="5"/>
      <c r="F4" s="5"/>
      <c r="G4" s="5"/>
    </row>
    <row r="5" spans="1:10">
      <c r="A5" s="1" t="s">
        <v>12</v>
      </c>
      <c r="B5" s="5">
        <f>7/7</f>
        <v>1</v>
      </c>
      <c r="C5" s="5">
        <f>14/14</f>
        <v>1</v>
      </c>
      <c r="D5" s="5">
        <f>6/6</f>
        <v>1</v>
      </c>
      <c r="E5" s="5"/>
      <c r="F5" s="5"/>
      <c r="G5" s="5"/>
    </row>
    <row r="6" spans="1:10">
      <c r="A6" s="1" t="s">
        <v>13</v>
      </c>
      <c r="B6" s="5">
        <f>35/35</f>
        <v>1</v>
      </c>
      <c r="C6" s="5">
        <f>21/21</f>
        <v>1</v>
      </c>
      <c r="D6" s="5">
        <f>18/18</f>
        <v>1</v>
      </c>
      <c r="E6" s="5"/>
      <c r="F6" s="5">
        <f>8/8</f>
        <v>1</v>
      </c>
      <c r="G6" s="5"/>
    </row>
    <row r="7" spans="1:10">
      <c r="A7" s="4" t="s">
        <v>33</v>
      </c>
      <c r="B7" s="4">
        <v>13</v>
      </c>
      <c r="C7" s="4" t="s">
        <v>34</v>
      </c>
      <c r="D7" s="4" t="s">
        <v>22</v>
      </c>
      <c r="E7" s="4">
        <v>10</v>
      </c>
      <c r="F7" s="4">
        <v>9</v>
      </c>
      <c r="G7" s="4">
        <v>0</v>
      </c>
    </row>
    <row r="8" spans="1:10">
      <c r="A8" s="1" t="s">
        <v>10</v>
      </c>
      <c r="B8" s="5">
        <f>13/13</f>
        <v>1</v>
      </c>
      <c r="C8" s="5">
        <f>12/12</f>
        <v>1</v>
      </c>
      <c r="D8" s="5">
        <f>11/11</f>
        <v>1</v>
      </c>
      <c r="E8" s="5">
        <f>10/10</f>
        <v>1</v>
      </c>
      <c r="F8" s="5">
        <f>9/9</f>
        <v>1</v>
      </c>
      <c r="G8" s="5"/>
    </row>
    <row r="9" spans="1:10">
      <c r="A9" s="1" t="s">
        <v>11</v>
      </c>
      <c r="B9" s="5">
        <f>65/65</f>
        <v>1</v>
      </c>
      <c r="C9" s="5">
        <f>36/36</f>
        <v>1</v>
      </c>
      <c r="D9" s="5">
        <f>55/55</f>
        <v>1</v>
      </c>
      <c r="E9" s="5">
        <f>24/30</f>
        <v>0.8</v>
      </c>
      <c r="F9" s="5"/>
      <c r="G9" s="5"/>
    </row>
    <row r="10" spans="1:10">
      <c r="A10" s="1" t="s">
        <v>12</v>
      </c>
      <c r="B10" s="5">
        <f>13/13</f>
        <v>1</v>
      </c>
      <c r="C10" s="5">
        <f>24/24</f>
        <v>1</v>
      </c>
      <c r="D10" s="5">
        <f>11/11</f>
        <v>1</v>
      </c>
      <c r="E10" s="5">
        <f>10/10</f>
        <v>1</v>
      </c>
      <c r="F10" s="5"/>
      <c r="G10" s="5"/>
    </row>
    <row r="11" spans="1:10">
      <c r="A11" s="1" t="s">
        <v>13</v>
      </c>
      <c r="B11" s="5">
        <f>63/65</f>
        <v>0.96923076923076923</v>
      </c>
      <c r="C11" s="5">
        <f>36/36</f>
        <v>1</v>
      </c>
      <c r="D11" s="5">
        <f>33/33</f>
        <v>1</v>
      </c>
      <c r="E11" s="5">
        <f>40/40</f>
        <v>1</v>
      </c>
      <c r="F11" s="5">
        <f>18/18</f>
        <v>1</v>
      </c>
      <c r="G11" s="5"/>
    </row>
    <row r="12" spans="1:10">
      <c r="A12" s="4" t="s">
        <v>35</v>
      </c>
      <c r="B12" s="4" t="s">
        <v>30</v>
      </c>
      <c r="C12" s="4">
        <v>8</v>
      </c>
      <c r="D12" s="4">
        <v>7</v>
      </c>
      <c r="E12" s="4">
        <v>6</v>
      </c>
      <c r="F12" s="4">
        <v>4</v>
      </c>
      <c r="G12" s="4">
        <v>0</v>
      </c>
    </row>
    <row r="13" spans="1:10">
      <c r="A13" s="1" t="s">
        <v>10</v>
      </c>
      <c r="B13" s="5">
        <f>7/7</f>
        <v>1</v>
      </c>
      <c r="C13" s="5">
        <f>7/8</f>
        <v>0.875</v>
      </c>
      <c r="D13" s="5">
        <f>7/7</f>
        <v>1</v>
      </c>
      <c r="E13" s="5">
        <f>3/6</f>
        <v>0.5</v>
      </c>
      <c r="F13" s="5">
        <f>4/4</f>
        <v>1</v>
      </c>
      <c r="G13" s="5"/>
    </row>
    <row r="14" spans="1:10">
      <c r="A14" s="1" t="s">
        <v>11</v>
      </c>
      <c r="B14" s="5">
        <f>35/35</f>
        <v>1</v>
      </c>
      <c r="C14" s="5">
        <f>24/24</f>
        <v>1</v>
      </c>
      <c r="D14" s="5">
        <f>34/35</f>
        <v>0.97142857142857142</v>
      </c>
      <c r="E14" s="5">
        <f>10/18</f>
        <v>0.55555555555555558</v>
      </c>
      <c r="F14" s="5"/>
      <c r="G14" s="5"/>
    </row>
    <row r="15" spans="1:10">
      <c r="A15" s="1" t="s">
        <v>12</v>
      </c>
      <c r="B15" s="5">
        <f>7/7</f>
        <v>1</v>
      </c>
      <c r="C15" s="5">
        <f>16/16</f>
        <v>1</v>
      </c>
      <c r="D15" s="5">
        <f>7/7</f>
        <v>1</v>
      </c>
      <c r="E15" s="5">
        <f>6/6</f>
        <v>1</v>
      </c>
      <c r="F15" s="5"/>
      <c r="G15" s="5"/>
    </row>
    <row r="16" spans="1:10">
      <c r="A16" s="1" t="s">
        <v>13</v>
      </c>
      <c r="B16" s="5">
        <f>34/35</f>
        <v>0.97142857142857142</v>
      </c>
      <c r="C16" s="5">
        <f>24/24</f>
        <v>1</v>
      </c>
      <c r="D16" s="5">
        <f>21/21</f>
        <v>1</v>
      </c>
      <c r="E16" s="5">
        <f>24/24</f>
        <v>1</v>
      </c>
      <c r="F16" s="5">
        <f>8/8</f>
        <v>1</v>
      </c>
      <c r="G16" s="5"/>
    </row>
    <row r="17" spans="1:7">
      <c r="A17" s="4" t="s">
        <v>21</v>
      </c>
      <c r="B17" s="4">
        <v>11</v>
      </c>
      <c r="C17" s="4" t="s">
        <v>36</v>
      </c>
      <c r="D17" s="4" t="s">
        <v>22</v>
      </c>
      <c r="E17" s="4">
        <v>8</v>
      </c>
      <c r="F17" s="4">
        <v>8</v>
      </c>
      <c r="G17" s="4">
        <v>2</v>
      </c>
    </row>
    <row r="18" spans="1:7">
      <c r="A18" s="1" t="s">
        <v>10</v>
      </c>
      <c r="B18" s="5">
        <f>11/11</f>
        <v>1</v>
      </c>
      <c r="C18" s="5">
        <f>8/10</f>
        <v>0.8</v>
      </c>
      <c r="D18" s="5">
        <f>11/11</f>
        <v>1</v>
      </c>
      <c r="E18" s="5">
        <f>2/8</f>
        <v>0.25</v>
      </c>
      <c r="F18" s="5">
        <f>8/8</f>
        <v>1</v>
      </c>
      <c r="G18" s="5">
        <f>2/2</f>
        <v>1</v>
      </c>
    </row>
    <row r="19" spans="1:7">
      <c r="A19" s="1" t="s">
        <v>11</v>
      </c>
      <c r="B19" s="5">
        <f>55/55</f>
        <v>1</v>
      </c>
      <c r="C19" s="5">
        <f>26/30</f>
        <v>0.8666666666666667</v>
      </c>
      <c r="D19" s="5">
        <f>55/55</f>
        <v>1</v>
      </c>
      <c r="E19" s="5">
        <f>6/24</f>
        <v>0.25</v>
      </c>
      <c r="F19" s="5"/>
      <c r="G19" s="5">
        <f>10/10</f>
        <v>1</v>
      </c>
    </row>
    <row r="20" spans="1:7">
      <c r="A20" s="1" t="s">
        <v>12</v>
      </c>
      <c r="B20" s="5">
        <f>11/11</f>
        <v>1</v>
      </c>
      <c r="C20" s="5">
        <f>20/20</f>
        <v>1</v>
      </c>
      <c r="D20" s="5">
        <f>11/11</f>
        <v>1</v>
      </c>
      <c r="E20" s="5">
        <f>8/8</f>
        <v>1</v>
      </c>
      <c r="F20" s="5"/>
      <c r="G20" s="5"/>
    </row>
    <row r="21" spans="1:7">
      <c r="A21" s="1" t="s">
        <v>13</v>
      </c>
      <c r="B21" s="5">
        <f>55/55</f>
        <v>1</v>
      </c>
      <c r="C21" s="5">
        <f>30/30</f>
        <v>1</v>
      </c>
      <c r="D21" s="5">
        <f>33/33</f>
        <v>1</v>
      </c>
      <c r="E21" s="5">
        <f>32/32</f>
        <v>1</v>
      </c>
      <c r="F21" s="5">
        <f>16/16</f>
        <v>1</v>
      </c>
      <c r="G21" s="5">
        <f>4/4</f>
        <v>1</v>
      </c>
    </row>
    <row r="22" spans="1:7">
      <c r="A22" s="4" t="s">
        <v>26</v>
      </c>
      <c r="B22" s="4">
        <v>4</v>
      </c>
      <c r="C22" s="4">
        <v>4</v>
      </c>
      <c r="D22" s="4">
        <v>4</v>
      </c>
      <c r="E22" s="4">
        <v>3</v>
      </c>
      <c r="F22" s="4">
        <v>4</v>
      </c>
      <c r="G22" s="4">
        <v>0</v>
      </c>
    </row>
    <row r="23" spans="1:7">
      <c r="A23" s="1" t="s">
        <v>10</v>
      </c>
      <c r="B23" s="5">
        <f>4/4</f>
        <v>1</v>
      </c>
      <c r="C23" s="5">
        <f>4/4</f>
        <v>1</v>
      </c>
      <c r="D23" s="5">
        <f>4/4</f>
        <v>1</v>
      </c>
      <c r="E23" s="5">
        <f>3/3</f>
        <v>1</v>
      </c>
      <c r="F23" s="5">
        <f>4/4</f>
        <v>1</v>
      </c>
      <c r="G23" s="5"/>
    </row>
    <row r="24" spans="1:7">
      <c r="A24" s="1" t="s">
        <v>11</v>
      </c>
      <c r="B24" s="5">
        <f>20/20</f>
        <v>1</v>
      </c>
      <c r="C24" s="5">
        <f>12/12</f>
        <v>1</v>
      </c>
      <c r="D24" s="5">
        <f>20/20</f>
        <v>1</v>
      </c>
      <c r="E24" s="5">
        <f>9/9</f>
        <v>1</v>
      </c>
      <c r="F24" s="5"/>
      <c r="G24" s="5"/>
    </row>
    <row r="25" spans="1:7">
      <c r="A25" s="1" t="s">
        <v>12</v>
      </c>
      <c r="B25" s="5">
        <f>4/4</f>
        <v>1</v>
      </c>
      <c r="C25" s="5">
        <f>8/8</f>
        <v>1</v>
      </c>
      <c r="D25" s="5">
        <f>4/4</f>
        <v>1</v>
      </c>
      <c r="E25" s="5">
        <f>3/3</f>
        <v>1</v>
      </c>
      <c r="F25" s="5"/>
      <c r="G25" s="5"/>
    </row>
    <row r="26" spans="1:7">
      <c r="A26" s="1" t="s">
        <v>13</v>
      </c>
      <c r="B26" s="5">
        <f>20/20</f>
        <v>1</v>
      </c>
      <c r="C26" s="5">
        <f>12/12</f>
        <v>1</v>
      </c>
      <c r="D26" s="5">
        <f>12/12</f>
        <v>1</v>
      </c>
      <c r="E26" s="5">
        <f>12/12</f>
        <v>1</v>
      </c>
      <c r="F26" s="5">
        <f>8/8</f>
        <v>1</v>
      </c>
      <c r="G26" s="5"/>
    </row>
    <row r="27" spans="1:7">
      <c r="A27" s="4" t="s">
        <v>37</v>
      </c>
      <c r="B27" s="4">
        <v>4</v>
      </c>
      <c r="C27" s="4">
        <v>2</v>
      </c>
      <c r="D27" s="4" t="s">
        <v>38</v>
      </c>
      <c r="E27" s="4">
        <v>2</v>
      </c>
      <c r="F27" s="4">
        <v>2</v>
      </c>
      <c r="G27" s="4">
        <v>0</v>
      </c>
    </row>
    <row r="28" spans="1:7">
      <c r="A28" s="1" t="s">
        <v>10</v>
      </c>
      <c r="B28" s="5">
        <f>4/4</f>
        <v>1</v>
      </c>
      <c r="C28" s="5">
        <f>2/2</f>
        <v>1</v>
      </c>
      <c r="D28" s="5">
        <f>1/1</f>
        <v>1</v>
      </c>
      <c r="E28" s="5">
        <f>2/2</f>
        <v>1</v>
      </c>
      <c r="F28" s="5">
        <f>2/2</f>
        <v>1</v>
      </c>
      <c r="G28" s="5"/>
    </row>
    <row r="29" spans="1:7">
      <c r="A29" s="1" t="s">
        <v>11</v>
      </c>
      <c r="B29" s="5">
        <f>20/20</f>
        <v>1</v>
      </c>
      <c r="C29" s="5">
        <f>6/6</f>
        <v>1</v>
      </c>
      <c r="D29" s="5">
        <f>5/5</f>
        <v>1</v>
      </c>
      <c r="E29" s="5">
        <f>6/6</f>
        <v>1</v>
      </c>
      <c r="F29" s="5"/>
      <c r="G29" s="5"/>
    </row>
    <row r="30" spans="1:7">
      <c r="A30" s="1" t="s">
        <v>12</v>
      </c>
      <c r="B30" s="5">
        <f>4/4</f>
        <v>1</v>
      </c>
      <c r="C30" s="5">
        <f>4/4</f>
        <v>1</v>
      </c>
      <c r="D30" s="5">
        <f>1/1</f>
        <v>1</v>
      </c>
      <c r="E30" s="5">
        <f>2/2</f>
        <v>1</v>
      </c>
      <c r="F30" s="5"/>
      <c r="G30" s="5"/>
    </row>
    <row r="31" spans="1:7">
      <c r="A31" s="1" t="s">
        <v>13</v>
      </c>
      <c r="B31" s="5">
        <f>20/20</f>
        <v>1</v>
      </c>
      <c r="C31" s="5">
        <f>6/6</f>
        <v>1</v>
      </c>
      <c r="D31" s="5">
        <f>3/3</f>
        <v>1</v>
      </c>
      <c r="E31" s="5">
        <f>8/8</f>
        <v>1</v>
      </c>
      <c r="F31" s="5">
        <f>4/4</f>
        <v>1</v>
      </c>
      <c r="G31" s="5"/>
    </row>
    <row r="32" spans="1:7">
      <c r="A32" s="4" t="s">
        <v>29</v>
      </c>
      <c r="B32" s="4">
        <v>5</v>
      </c>
      <c r="C32" s="4">
        <v>3</v>
      </c>
      <c r="D32" s="4">
        <v>4</v>
      </c>
      <c r="E32" s="4">
        <v>0</v>
      </c>
      <c r="F32" s="4">
        <v>0</v>
      </c>
      <c r="G32" s="4">
        <v>0</v>
      </c>
    </row>
    <row r="33" spans="1:7">
      <c r="A33" s="1" t="s">
        <v>10</v>
      </c>
      <c r="B33" s="5">
        <f>5/5</f>
        <v>1</v>
      </c>
      <c r="C33" s="5">
        <f>3/3</f>
        <v>1</v>
      </c>
      <c r="D33" s="5">
        <f>4/4</f>
        <v>1</v>
      </c>
      <c r="E33" s="5"/>
      <c r="F33" s="5"/>
      <c r="G33" s="5"/>
    </row>
    <row r="34" spans="1:7">
      <c r="A34" s="1" t="s">
        <v>11</v>
      </c>
      <c r="B34" s="5">
        <f>25/25</f>
        <v>1</v>
      </c>
      <c r="C34" s="5">
        <f>9/9</f>
        <v>1</v>
      </c>
      <c r="D34" s="5">
        <f>20/20</f>
        <v>1</v>
      </c>
      <c r="E34" s="5"/>
      <c r="F34" s="5"/>
      <c r="G34" s="5"/>
    </row>
    <row r="35" spans="1:7">
      <c r="A35" s="1" t="s">
        <v>12</v>
      </c>
      <c r="B35" s="5">
        <f>5/5</f>
        <v>1</v>
      </c>
      <c r="C35" s="5">
        <f>6/6</f>
        <v>1</v>
      </c>
      <c r="D35" s="5">
        <f>4/4</f>
        <v>1</v>
      </c>
      <c r="E35" s="5"/>
      <c r="F35" s="5"/>
      <c r="G35" s="5"/>
    </row>
    <row r="36" spans="1:7">
      <c r="A36" s="1" t="s">
        <v>13</v>
      </c>
      <c r="B36" s="5">
        <f>20/25</f>
        <v>0.8</v>
      </c>
      <c r="C36" s="5">
        <f>9/9</f>
        <v>1</v>
      </c>
      <c r="D36" s="5">
        <f>12/12</f>
        <v>1</v>
      </c>
      <c r="E36" s="5"/>
      <c r="F36" s="5"/>
      <c r="G36" s="5"/>
    </row>
    <row r="37" spans="1:7">
      <c r="A37" s="4" t="s">
        <v>31</v>
      </c>
      <c r="B37" s="4">
        <v>7</v>
      </c>
      <c r="C37" s="4">
        <v>7</v>
      </c>
      <c r="D37" s="4">
        <v>6</v>
      </c>
      <c r="E37" s="4">
        <v>7</v>
      </c>
      <c r="F37" s="4">
        <v>0</v>
      </c>
      <c r="G37" s="4">
        <v>0</v>
      </c>
    </row>
    <row r="38" spans="1:7">
      <c r="A38" s="1" t="s">
        <v>10</v>
      </c>
      <c r="B38" s="5">
        <f>7/7</f>
        <v>1</v>
      </c>
      <c r="C38" s="5">
        <f>7/7</f>
        <v>1</v>
      </c>
      <c r="D38" s="5">
        <f>4/6</f>
        <v>0.66666666666666663</v>
      </c>
      <c r="E38" s="5">
        <f>7/7</f>
        <v>1</v>
      </c>
      <c r="F38" s="5"/>
      <c r="G38" s="5"/>
    </row>
    <row r="39" spans="1:7">
      <c r="A39" s="1" t="s">
        <v>11</v>
      </c>
      <c r="B39" s="5">
        <f>27/27</f>
        <v>1</v>
      </c>
      <c r="C39" s="5">
        <f>15/15</f>
        <v>1</v>
      </c>
      <c r="D39" s="5">
        <f>22/25</f>
        <v>0.88</v>
      </c>
      <c r="E39" s="5">
        <f>26/26</f>
        <v>1</v>
      </c>
      <c r="F39" s="5"/>
      <c r="G39" s="5"/>
    </row>
    <row r="40" spans="1:7">
      <c r="A40" s="1" t="s">
        <v>12</v>
      </c>
      <c r="B40" s="5">
        <f>7/7</f>
        <v>1</v>
      </c>
      <c r="C40" s="5">
        <f>14/14</f>
        <v>1</v>
      </c>
      <c r="D40" s="5">
        <f>6/6</f>
        <v>1</v>
      </c>
      <c r="E40" s="5">
        <f>7/7</f>
        <v>1</v>
      </c>
      <c r="F40" s="5"/>
      <c r="G40" s="5"/>
    </row>
    <row r="41" spans="1:7">
      <c r="A41" s="1" t="s">
        <v>13</v>
      </c>
      <c r="B41" s="5">
        <f>35/35</f>
        <v>1</v>
      </c>
      <c r="C41" s="5">
        <f>21/21</f>
        <v>1</v>
      </c>
      <c r="D41" s="5">
        <f>18/18</f>
        <v>1</v>
      </c>
      <c r="E41" s="5">
        <f>28/28</f>
        <v>1</v>
      </c>
      <c r="F41" s="5"/>
      <c r="G41" s="5"/>
    </row>
    <row r="42" spans="1:7">
      <c r="A42" s="4" t="s">
        <v>39</v>
      </c>
      <c r="B42" s="4" t="s">
        <v>40</v>
      </c>
      <c r="C42" s="4">
        <v>12</v>
      </c>
      <c r="D42" s="4">
        <v>11</v>
      </c>
      <c r="E42" s="4">
        <v>11</v>
      </c>
      <c r="F42" s="4">
        <v>0</v>
      </c>
      <c r="G42" s="4">
        <v>0</v>
      </c>
    </row>
    <row r="43" spans="1:7">
      <c r="A43" s="1" t="s">
        <v>10</v>
      </c>
      <c r="B43" s="5">
        <f>6/6</f>
        <v>1</v>
      </c>
      <c r="C43" s="5">
        <f>12/12</f>
        <v>1</v>
      </c>
      <c r="D43" s="5">
        <f>11/11</f>
        <v>1</v>
      </c>
      <c r="E43" s="5">
        <f>11/11</f>
        <v>1</v>
      </c>
      <c r="F43" s="5"/>
      <c r="G43" s="5"/>
    </row>
    <row r="44" spans="1:7">
      <c r="A44" s="1" t="s">
        <v>11</v>
      </c>
      <c r="B44" s="5">
        <f>30/30</f>
        <v>1</v>
      </c>
      <c r="C44" s="5">
        <f>36/36</f>
        <v>1</v>
      </c>
      <c r="D44" s="5">
        <f>48/55</f>
        <v>0.87272727272727268</v>
      </c>
      <c r="E44" s="5">
        <f>40/42</f>
        <v>0.95238095238095233</v>
      </c>
      <c r="F44" s="5"/>
      <c r="G44" s="5"/>
    </row>
    <row r="45" spans="1:7">
      <c r="A45" s="1" t="s">
        <v>12</v>
      </c>
      <c r="B45" s="5">
        <f>6/6</f>
        <v>1</v>
      </c>
      <c r="C45" s="5">
        <f>24/24</f>
        <v>1</v>
      </c>
      <c r="D45" s="5">
        <f>11/11</f>
        <v>1</v>
      </c>
      <c r="E45" s="5">
        <f>11/11</f>
        <v>1</v>
      </c>
      <c r="F45" s="5"/>
      <c r="G45" s="5"/>
    </row>
    <row r="46" spans="1:7">
      <c r="A46" s="1" t="s">
        <v>13</v>
      </c>
      <c r="B46" s="5">
        <f>30/30</f>
        <v>1</v>
      </c>
      <c r="C46" s="5">
        <f>36/36</f>
        <v>1</v>
      </c>
      <c r="D46" s="5">
        <f>33/33</f>
        <v>1</v>
      </c>
      <c r="E46" s="5">
        <f>44/44</f>
        <v>1</v>
      </c>
      <c r="F46" s="5"/>
      <c r="G46" s="5"/>
    </row>
  </sheetData>
  <conditionalFormatting sqref="B3:G6">
    <cfRule type="containsBlanks" dxfId="215" priority="9">
      <formula>LEN(TRIM(B3))=0</formula>
    </cfRule>
    <cfRule type="cellIs" dxfId="214" priority="10" operator="greaterThanOrEqual">
      <formula>0.95</formula>
    </cfRule>
    <cfRule type="cellIs" dxfId="213" priority="11" operator="greaterThanOrEqual">
      <formula>0.7</formula>
    </cfRule>
    <cfRule type="cellIs" dxfId="212" priority="12" operator="between">
      <formula>0</formula>
      <formula>0.7</formula>
    </cfRule>
  </conditionalFormatting>
  <conditionalFormatting sqref="B8:G11">
    <cfRule type="cellIs" dxfId="211" priority="23" operator="greaterThanOrEqual">
      <formula>0.7</formula>
    </cfRule>
    <cfRule type="cellIs" dxfId="210" priority="22" operator="greaterThanOrEqual">
      <formula>0.95</formula>
    </cfRule>
    <cfRule type="containsBlanks" dxfId="209" priority="21">
      <formula>LEN(TRIM(B8))=0</formula>
    </cfRule>
    <cfRule type="cellIs" dxfId="208" priority="24" operator="between">
      <formula>0</formula>
      <formula>0.7</formula>
    </cfRule>
  </conditionalFormatting>
  <conditionalFormatting sqref="B13:G16">
    <cfRule type="cellIs" dxfId="207" priority="36" operator="between">
      <formula>0</formula>
      <formula>0.7</formula>
    </cfRule>
    <cfRule type="containsBlanks" dxfId="206" priority="33">
      <formula>LEN(TRIM(B13))=0</formula>
    </cfRule>
    <cfRule type="cellIs" dxfId="205" priority="34" operator="greaterThanOrEqual">
      <formula>0.95</formula>
    </cfRule>
    <cfRule type="cellIs" dxfId="204" priority="35" operator="greaterThanOrEqual">
      <formula>0.7</formula>
    </cfRule>
  </conditionalFormatting>
  <conditionalFormatting sqref="B18:G21">
    <cfRule type="cellIs" dxfId="203" priority="30" operator="greaterThanOrEqual">
      <formula>0.95</formula>
    </cfRule>
    <cfRule type="containsBlanks" dxfId="202" priority="29">
      <formula>LEN(TRIM(B18))=0</formula>
    </cfRule>
    <cfRule type="cellIs" dxfId="201" priority="31" operator="greaterThanOrEqual">
      <formula>0.7</formula>
    </cfRule>
    <cfRule type="cellIs" dxfId="200" priority="32" operator="between">
      <formula>0</formula>
      <formula>0.7</formula>
    </cfRule>
  </conditionalFormatting>
  <conditionalFormatting sqref="B23:G26">
    <cfRule type="cellIs" dxfId="199" priority="28" operator="between">
      <formula>0</formula>
      <formula>0.7</formula>
    </cfRule>
    <cfRule type="cellIs" dxfId="198" priority="27" operator="greaterThanOrEqual">
      <formula>0.7</formula>
    </cfRule>
    <cfRule type="cellIs" dxfId="197" priority="26" operator="greaterThanOrEqual">
      <formula>0.95</formula>
    </cfRule>
    <cfRule type="containsBlanks" dxfId="196" priority="25">
      <formula>LEN(TRIM(B23))=0</formula>
    </cfRule>
  </conditionalFormatting>
  <conditionalFormatting sqref="B28:G31">
    <cfRule type="cellIs" dxfId="195" priority="3" operator="greaterThanOrEqual">
      <formula>0.7</formula>
    </cfRule>
    <cfRule type="cellIs" dxfId="194" priority="4" operator="between">
      <formula>0</formula>
      <formula>0.7</formula>
    </cfRule>
    <cfRule type="containsBlanks" dxfId="193" priority="1">
      <formula>LEN(TRIM(B28))=0</formula>
    </cfRule>
    <cfRule type="cellIs" dxfId="192" priority="2" operator="greaterThanOrEqual">
      <formula>0.95</formula>
    </cfRule>
  </conditionalFormatting>
  <conditionalFormatting sqref="B33:G36">
    <cfRule type="cellIs" dxfId="191" priority="14" operator="greaterThanOrEqual">
      <formula>0.95</formula>
    </cfRule>
    <cfRule type="containsBlanks" dxfId="190" priority="13">
      <formula>LEN(TRIM(B33))=0</formula>
    </cfRule>
    <cfRule type="cellIs" dxfId="189" priority="16" operator="between">
      <formula>0</formula>
      <formula>0.7</formula>
    </cfRule>
    <cfRule type="cellIs" dxfId="188" priority="15" operator="greaterThanOrEqual">
      <formula>0.7</formula>
    </cfRule>
  </conditionalFormatting>
  <conditionalFormatting sqref="B38:G41">
    <cfRule type="cellIs" dxfId="187" priority="8" operator="between">
      <formula>0</formula>
      <formula>0.7</formula>
    </cfRule>
    <cfRule type="cellIs" dxfId="186" priority="7" operator="greaterThanOrEqual">
      <formula>0.7</formula>
    </cfRule>
    <cfRule type="cellIs" dxfId="185" priority="6" operator="greaterThanOrEqual">
      <formula>0.95</formula>
    </cfRule>
    <cfRule type="containsBlanks" dxfId="184" priority="5">
      <formula>LEN(TRIM(B38))=0</formula>
    </cfRule>
  </conditionalFormatting>
  <conditionalFormatting sqref="B43:G46">
    <cfRule type="cellIs" dxfId="183" priority="20" operator="between">
      <formula>0</formula>
      <formula>0.7</formula>
    </cfRule>
    <cfRule type="cellIs" dxfId="182" priority="18" operator="greaterThanOrEqual">
      <formula>0.95</formula>
    </cfRule>
    <cfRule type="containsBlanks" dxfId="181" priority="17">
      <formula>LEN(TRIM(B43))=0</formula>
    </cfRule>
    <cfRule type="cellIs" dxfId="180" priority="19" operator="greaterThanOrEqual">
      <formula>0.7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51"/>
  <sheetViews>
    <sheetView workbookViewId="0">
      <pane ySplit="1" topLeftCell="A2" activePane="bottomLeft" state="frozen"/>
      <selection pane="bottomLeft"/>
    </sheetView>
  </sheetViews>
  <sheetFormatPr defaultColWidth="8.75" defaultRowHeight="10.15"/>
  <cols>
    <col min="1" max="1" width="12.25" style="2" bestFit="1" customWidth="1"/>
    <col min="2" max="2" width="5.625" style="2" bestFit="1" customWidth="1"/>
    <col min="3" max="4" width="6.125" style="2" bestFit="1" customWidth="1"/>
    <col min="5" max="5" width="5.375" style="2" bestFit="1" customWidth="1"/>
    <col min="6" max="6" width="9.25" style="2" bestFit="1" customWidth="1"/>
    <col min="7" max="7" width="7" style="2" bestFit="1" customWidth="1"/>
    <col min="8" max="8" width="27.75" style="2" bestFit="1" customWidth="1"/>
    <col min="9" max="9" width="8.75" style="2"/>
    <col min="10" max="10" width="23.625" style="2" bestFit="1" customWidth="1"/>
    <col min="11" max="16384" width="8.75" style="2"/>
  </cols>
  <sheetData>
    <row r="1" spans="1:10" ht="40.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J1" s="6" t="s">
        <v>7</v>
      </c>
    </row>
    <row r="2" spans="1:10">
      <c r="A2" s="4" t="s">
        <v>8</v>
      </c>
      <c r="B2" s="4">
        <v>7</v>
      </c>
      <c r="C2" s="4">
        <v>7</v>
      </c>
      <c r="D2" s="4">
        <v>7</v>
      </c>
      <c r="E2" s="4">
        <v>0</v>
      </c>
      <c r="F2" s="4">
        <v>4</v>
      </c>
      <c r="G2" s="4">
        <v>0</v>
      </c>
      <c r="J2" s="6"/>
    </row>
    <row r="3" spans="1:10">
      <c r="A3" s="1" t="s">
        <v>10</v>
      </c>
      <c r="B3" s="5">
        <f>7/7</f>
        <v>1</v>
      </c>
      <c r="C3" s="5">
        <f>7/7</f>
        <v>1</v>
      </c>
      <c r="D3" s="5">
        <f>7/7</f>
        <v>1</v>
      </c>
      <c r="E3" s="5"/>
      <c r="F3" s="5">
        <f>4/4</f>
        <v>1</v>
      </c>
      <c r="G3" s="5"/>
    </row>
    <row r="4" spans="1:10">
      <c r="A4" s="1" t="s">
        <v>11</v>
      </c>
      <c r="B4" s="5">
        <f>42/42</f>
        <v>1</v>
      </c>
      <c r="C4" s="5">
        <f>28/28</f>
        <v>1</v>
      </c>
      <c r="D4" s="5">
        <f>42/42</f>
        <v>1</v>
      </c>
      <c r="E4" s="5"/>
      <c r="F4" s="5"/>
      <c r="G4" s="5"/>
    </row>
    <row r="5" spans="1:10">
      <c r="A5" s="1" t="s">
        <v>12</v>
      </c>
      <c r="B5" s="5">
        <f>7/7</f>
        <v>1</v>
      </c>
      <c r="C5" s="9">
        <f>7/14</f>
        <v>0.5</v>
      </c>
      <c r="D5" s="5">
        <f>7/14</f>
        <v>0.5</v>
      </c>
      <c r="E5" s="5"/>
      <c r="F5" s="5">
        <f>7/8</f>
        <v>0.875</v>
      </c>
      <c r="G5" s="5"/>
    </row>
    <row r="6" spans="1:10">
      <c r="A6" s="1" t="s">
        <v>13</v>
      </c>
      <c r="B6" s="5">
        <f>35/35</f>
        <v>1</v>
      </c>
      <c r="C6" s="5">
        <f>21/21</f>
        <v>1</v>
      </c>
      <c r="D6" s="5">
        <f>28/28</f>
        <v>1</v>
      </c>
      <c r="E6" s="5"/>
      <c r="F6" s="5">
        <f>8/8</f>
        <v>1</v>
      </c>
      <c r="G6" s="5"/>
    </row>
    <row r="7" spans="1:10">
      <c r="A7" s="4" t="s">
        <v>33</v>
      </c>
      <c r="B7" s="4">
        <v>14</v>
      </c>
      <c r="C7" s="4" t="s">
        <v>41</v>
      </c>
      <c r="D7" s="4" t="s">
        <v>42</v>
      </c>
      <c r="E7" s="4">
        <v>11</v>
      </c>
      <c r="F7" s="4" t="s">
        <v>23</v>
      </c>
      <c r="G7" s="4">
        <v>0</v>
      </c>
    </row>
    <row r="8" spans="1:10">
      <c r="A8" s="1" t="s">
        <v>10</v>
      </c>
      <c r="B8" s="5">
        <f>14/14</f>
        <v>1</v>
      </c>
      <c r="C8" s="5">
        <f>13/13</f>
        <v>1</v>
      </c>
      <c r="D8" s="5">
        <f>12/12</f>
        <v>1</v>
      </c>
      <c r="E8" s="5">
        <f>10/11</f>
        <v>0.90909090909090906</v>
      </c>
      <c r="F8" s="5">
        <f>9/9</f>
        <v>1</v>
      </c>
      <c r="G8" s="5"/>
    </row>
    <row r="9" spans="1:10">
      <c r="A9" s="1" t="s">
        <v>11</v>
      </c>
      <c r="B9" s="5">
        <f>84/84</f>
        <v>1</v>
      </c>
      <c r="C9" s="5">
        <f>52/52</f>
        <v>1</v>
      </c>
      <c r="D9" s="5">
        <f>72/72</f>
        <v>1</v>
      </c>
      <c r="E9" s="5">
        <f>42/44</f>
        <v>0.95454545454545459</v>
      </c>
      <c r="F9" s="5"/>
      <c r="G9" s="5"/>
    </row>
    <row r="10" spans="1:10">
      <c r="A10" s="1" t="s">
        <v>12</v>
      </c>
      <c r="B10" s="5">
        <f>14/14</f>
        <v>1</v>
      </c>
      <c r="C10" s="7">
        <f>13/26</f>
        <v>0.5</v>
      </c>
      <c r="D10" s="5">
        <f>12/24</f>
        <v>0.5</v>
      </c>
      <c r="E10" s="5">
        <f>11/11</f>
        <v>1</v>
      </c>
      <c r="F10" s="5">
        <f>10/18</f>
        <v>0.55555555555555558</v>
      </c>
      <c r="G10" s="5"/>
    </row>
    <row r="11" spans="1:10">
      <c r="A11" s="1" t="s">
        <v>13</v>
      </c>
      <c r="B11" s="5">
        <f>70/70</f>
        <v>1</v>
      </c>
      <c r="C11" s="5">
        <f>39/39</f>
        <v>1</v>
      </c>
      <c r="D11" s="5">
        <f>48/48</f>
        <v>1</v>
      </c>
      <c r="E11" s="5">
        <f>43/44</f>
        <v>0.97727272727272729</v>
      </c>
      <c r="F11" s="5">
        <f>18/18</f>
        <v>1</v>
      </c>
      <c r="G11" s="5"/>
      <c r="H11" s="6"/>
    </row>
    <row r="12" spans="1:10">
      <c r="A12" s="4" t="s">
        <v>43</v>
      </c>
      <c r="B12" s="4" t="s">
        <v>44</v>
      </c>
      <c r="C12" s="4" t="s">
        <v>40</v>
      </c>
      <c r="D12" s="4">
        <v>7</v>
      </c>
      <c r="E12" s="4">
        <v>6</v>
      </c>
      <c r="F12" s="4" t="s">
        <v>25</v>
      </c>
      <c r="G12" s="4">
        <v>0</v>
      </c>
    </row>
    <row r="13" spans="1:10">
      <c r="A13" s="1" t="s">
        <v>10</v>
      </c>
      <c r="B13" s="5">
        <f>6/6</f>
        <v>1</v>
      </c>
      <c r="C13" s="5">
        <f>6/6</f>
        <v>1</v>
      </c>
      <c r="D13" s="5">
        <f>7/7</f>
        <v>1</v>
      </c>
      <c r="E13" s="5">
        <f>6/6</f>
        <v>1</v>
      </c>
      <c r="F13" s="5">
        <f>3/3</f>
        <v>1</v>
      </c>
      <c r="G13" s="5"/>
    </row>
    <row r="14" spans="1:10">
      <c r="A14" s="1" t="s">
        <v>11</v>
      </c>
      <c r="B14" s="5">
        <f>36/36</f>
        <v>1</v>
      </c>
      <c r="C14" s="5">
        <f>24/24</f>
        <v>1</v>
      </c>
      <c r="D14" s="5">
        <f>42/42</f>
        <v>1</v>
      </c>
      <c r="E14" s="5">
        <f>28/28</f>
        <v>1</v>
      </c>
      <c r="F14" s="5"/>
      <c r="G14" s="5"/>
    </row>
    <row r="15" spans="1:10">
      <c r="A15" s="1" t="s">
        <v>12</v>
      </c>
      <c r="B15" s="5">
        <f>6/6</f>
        <v>1</v>
      </c>
      <c r="C15" s="5">
        <f>6/12</f>
        <v>0.5</v>
      </c>
      <c r="D15" s="5">
        <f>7/14</f>
        <v>0.5</v>
      </c>
      <c r="E15" s="5">
        <f>6/6</f>
        <v>1</v>
      </c>
      <c r="F15" s="5">
        <f>4/6</f>
        <v>0.66666666666666663</v>
      </c>
      <c r="G15" s="5"/>
    </row>
    <row r="16" spans="1:10">
      <c r="A16" s="1" t="s">
        <v>13</v>
      </c>
      <c r="B16" s="5">
        <f>29/30</f>
        <v>0.96666666666666667</v>
      </c>
      <c r="C16" s="5">
        <f>18/18</f>
        <v>1</v>
      </c>
      <c r="D16" s="5">
        <f>28/28</f>
        <v>1</v>
      </c>
      <c r="E16" s="5">
        <f>24/24</f>
        <v>1</v>
      </c>
      <c r="F16" s="5">
        <f>6/6</f>
        <v>1</v>
      </c>
      <c r="G16" s="5"/>
      <c r="H16" s="6"/>
    </row>
    <row r="17" spans="1:7">
      <c r="A17" s="4" t="s">
        <v>21</v>
      </c>
      <c r="B17" s="4">
        <v>11</v>
      </c>
      <c r="C17" s="4" t="s">
        <v>45</v>
      </c>
      <c r="D17" s="4" t="s">
        <v>22</v>
      </c>
      <c r="E17" s="4">
        <v>8</v>
      </c>
      <c r="F17" s="4" t="s">
        <v>46</v>
      </c>
      <c r="G17" s="4" t="s">
        <v>47</v>
      </c>
    </row>
    <row r="18" spans="1:7">
      <c r="A18" s="1" t="s">
        <v>10</v>
      </c>
      <c r="B18" s="5">
        <f>11/11</f>
        <v>1</v>
      </c>
      <c r="C18" s="5">
        <f>7/7</f>
        <v>1</v>
      </c>
      <c r="D18" s="5">
        <f>11/11</f>
        <v>1</v>
      </c>
      <c r="E18" s="5">
        <f>8/8</f>
        <v>1</v>
      </c>
      <c r="F18" s="5">
        <f>5/5</f>
        <v>1</v>
      </c>
      <c r="G18" s="5">
        <f>1/1</f>
        <v>1</v>
      </c>
    </row>
    <row r="19" spans="1:7">
      <c r="A19" s="1" t="s">
        <v>11</v>
      </c>
      <c r="B19" s="5">
        <f>66/66</f>
        <v>1</v>
      </c>
      <c r="C19" s="5">
        <f>28/28</f>
        <v>1</v>
      </c>
      <c r="D19" s="5">
        <f>66/66</f>
        <v>1</v>
      </c>
      <c r="E19" s="5">
        <f>32/32</f>
        <v>1</v>
      </c>
      <c r="F19" s="5"/>
      <c r="G19" s="5">
        <f>6/6</f>
        <v>1</v>
      </c>
    </row>
    <row r="20" spans="1:7">
      <c r="A20" s="1" t="s">
        <v>12</v>
      </c>
      <c r="B20" s="5">
        <f>11/11</f>
        <v>1</v>
      </c>
      <c r="C20" s="5">
        <f>7/14</f>
        <v>0.5</v>
      </c>
      <c r="D20" s="5">
        <f>11/22</f>
        <v>0.5</v>
      </c>
      <c r="E20" s="5">
        <f>8/8</f>
        <v>1</v>
      </c>
      <c r="F20" s="5">
        <f>6/10</f>
        <v>0.6</v>
      </c>
      <c r="G20" s="5">
        <f>1/1</f>
        <v>1</v>
      </c>
    </row>
    <row r="21" spans="1:7">
      <c r="A21" s="1" t="s">
        <v>13</v>
      </c>
      <c r="B21" s="5">
        <f>55/55</f>
        <v>1</v>
      </c>
      <c r="C21" s="5">
        <f>21/21</f>
        <v>1</v>
      </c>
      <c r="D21" s="5">
        <f>44/44</f>
        <v>1</v>
      </c>
      <c r="E21" s="5">
        <f>32/32</f>
        <v>1</v>
      </c>
      <c r="F21" s="5">
        <f>10/10</f>
        <v>1</v>
      </c>
      <c r="G21" s="5">
        <f>3/3</f>
        <v>1</v>
      </c>
    </row>
    <row r="22" spans="1:7">
      <c r="A22" s="4" t="s">
        <v>26</v>
      </c>
      <c r="B22" s="4">
        <v>4</v>
      </c>
      <c r="C22" s="4">
        <v>4</v>
      </c>
      <c r="D22" s="4">
        <v>4</v>
      </c>
      <c r="E22" s="4">
        <v>3</v>
      </c>
      <c r="F22" s="4">
        <v>4</v>
      </c>
      <c r="G22" s="4">
        <v>0</v>
      </c>
    </row>
    <row r="23" spans="1:7">
      <c r="A23" s="1" t="s">
        <v>10</v>
      </c>
      <c r="B23" s="5">
        <f>4/4</f>
        <v>1</v>
      </c>
      <c r="C23" s="5">
        <f>4/4</f>
        <v>1</v>
      </c>
      <c r="D23" s="5">
        <f>4/4</f>
        <v>1</v>
      </c>
      <c r="E23" s="5">
        <f>3/3</f>
        <v>1</v>
      </c>
      <c r="F23" s="5">
        <f>4/4</f>
        <v>1</v>
      </c>
      <c r="G23" s="5"/>
    </row>
    <row r="24" spans="1:7">
      <c r="A24" s="1" t="s">
        <v>11</v>
      </c>
      <c r="B24" s="5">
        <f>24/24</f>
        <v>1</v>
      </c>
      <c r="C24" s="5">
        <f>16/16</f>
        <v>1</v>
      </c>
      <c r="D24" s="5">
        <f>24/24</f>
        <v>1</v>
      </c>
      <c r="E24" s="5">
        <f>11/13</f>
        <v>0.84615384615384615</v>
      </c>
      <c r="F24" s="5"/>
      <c r="G24" s="5"/>
    </row>
    <row r="25" spans="1:7">
      <c r="A25" s="1" t="s">
        <v>12</v>
      </c>
      <c r="B25" s="5">
        <f>4/4</f>
        <v>1</v>
      </c>
      <c r="C25" s="5">
        <f>4/8</f>
        <v>0.5</v>
      </c>
      <c r="D25" s="5">
        <f>4/8</f>
        <v>0.5</v>
      </c>
      <c r="E25" s="5">
        <f>3/3</f>
        <v>1</v>
      </c>
      <c r="F25" s="5">
        <f>5/8</f>
        <v>0.625</v>
      </c>
      <c r="G25" s="5"/>
    </row>
    <row r="26" spans="1:7">
      <c r="A26" s="1" t="s">
        <v>13</v>
      </c>
      <c r="B26" s="5">
        <f>20/20</f>
        <v>1</v>
      </c>
      <c r="C26" s="5">
        <f>12/12</f>
        <v>1</v>
      </c>
      <c r="D26" s="5">
        <f>16/16</f>
        <v>1</v>
      </c>
      <c r="E26" s="5">
        <f>12/12</f>
        <v>1</v>
      </c>
      <c r="F26" s="5">
        <f>8/8</f>
        <v>1</v>
      </c>
      <c r="G26" s="5"/>
    </row>
    <row r="27" spans="1:7">
      <c r="A27" s="4" t="s">
        <v>37</v>
      </c>
      <c r="B27" s="4">
        <v>4</v>
      </c>
      <c r="C27" s="4">
        <v>4</v>
      </c>
      <c r="D27" s="4">
        <v>4</v>
      </c>
      <c r="E27" s="4">
        <v>2</v>
      </c>
      <c r="F27" s="4">
        <v>2</v>
      </c>
      <c r="G27" s="4">
        <v>0</v>
      </c>
    </row>
    <row r="28" spans="1:7">
      <c r="A28" s="1" t="s">
        <v>10</v>
      </c>
      <c r="B28" s="5">
        <f>4/4</f>
        <v>1</v>
      </c>
      <c r="C28" s="5">
        <f>4/4</f>
        <v>1</v>
      </c>
      <c r="D28" s="5">
        <f>4/4</f>
        <v>1</v>
      </c>
      <c r="E28" s="5">
        <f>2/2</f>
        <v>1</v>
      </c>
      <c r="F28" s="5">
        <f>2/2</f>
        <v>1</v>
      </c>
      <c r="G28" s="5"/>
    </row>
    <row r="29" spans="1:7">
      <c r="A29" s="1" t="s">
        <v>11</v>
      </c>
      <c r="B29" s="5">
        <f>24/24</f>
        <v>1</v>
      </c>
      <c r="C29" s="5">
        <f>16/16</f>
        <v>1</v>
      </c>
      <c r="D29" s="5">
        <f>24/24</f>
        <v>1</v>
      </c>
      <c r="E29" s="5">
        <f>8/8</f>
        <v>1</v>
      </c>
      <c r="F29" s="5"/>
      <c r="G29" s="5"/>
    </row>
    <row r="30" spans="1:7">
      <c r="A30" s="1" t="s">
        <v>12</v>
      </c>
      <c r="B30" s="5">
        <f>4/4</f>
        <v>1</v>
      </c>
      <c r="C30" s="5">
        <f>5/8</f>
        <v>0.625</v>
      </c>
      <c r="D30" s="5">
        <f>4/8</f>
        <v>0.5</v>
      </c>
      <c r="E30" s="5">
        <f>2/2</f>
        <v>1</v>
      </c>
      <c r="F30" s="5">
        <f>2/4</f>
        <v>0.5</v>
      </c>
      <c r="G30" s="5"/>
    </row>
    <row r="31" spans="1:7">
      <c r="A31" s="1" t="s">
        <v>13</v>
      </c>
      <c r="B31" s="5">
        <f>20/20</f>
        <v>1</v>
      </c>
      <c r="C31" s="5">
        <f>12/12</f>
        <v>1</v>
      </c>
      <c r="D31" s="5">
        <f>16/16</f>
        <v>1</v>
      </c>
      <c r="E31" s="5">
        <f>8/8</f>
        <v>1</v>
      </c>
      <c r="F31" s="5">
        <f>4/4</f>
        <v>1</v>
      </c>
      <c r="G31" s="5"/>
    </row>
    <row r="32" spans="1:7">
      <c r="A32" s="4" t="s">
        <v>48</v>
      </c>
      <c r="B32" s="4">
        <v>5</v>
      </c>
      <c r="C32" s="4" t="s">
        <v>25</v>
      </c>
      <c r="D32" s="4">
        <v>6</v>
      </c>
      <c r="E32" s="4">
        <v>2</v>
      </c>
      <c r="F32" s="4">
        <v>0</v>
      </c>
      <c r="G32" s="4">
        <v>0</v>
      </c>
    </row>
    <row r="33" spans="1:8">
      <c r="A33" s="1" t="s">
        <v>10</v>
      </c>
      <c r="B33" s="5">
        <f>5/5</f>
        <v>1</v>
      </c>
      <c r="C33" s="5">
        <f>3/3</f>
        <v>1</v>
      </c>
      <c r="D33" s="5">
        <f>6/6</f>
        <v>1</v>
      </c>
      <c r="E33" s="5">
        <f>2/2</f>
        <v>1</v>
      </c>
      <c r="F33" s="5"/>
      <c r="G33" s="5"/>
    </row>
    <row r="34" spans="1:8">
      <c r="A34" s="1" t="s">
        <v>11</v>
      </c>
      <c r="B34" s="5">
        <f>30/30</f>
        <v>1</v>
      </c>
      <c r="C34" s="5">
        <f>12/12</f>
        <v>1</v>
      </c>
      <c r="D34" s="5">
        <f>36/36</f>
        <v>1</v>
      </c>
      <c r="E34" s="5">
        <f>12/12</f>
        <v>1</v>
      </c>
      <c r="F34" s="5"/>
      <c r="G34" s="5"/>
    </row>
    <row r="35" spans="1:8">
      <c r="A35" s="1" t="s">
        <v>12</v>
      </c>
      <c r="B35" s="5">
        <f>5/5</f>
        <v>1</v>
      </c>
      <c r="C35" s="5">
        <f>3/6</f>
        <v>0.5</v>
      </c>
      <c r="D35" s="5">
        <f>6/12</f>
        <v>0.5</v>
      </c>
      <c r="E35" s="5">
        <f>2/2</f>
        <v>1</v>
      </c>
      <c r="F35" s="5"/>
      <c r="G35" s="5"/>
    </row>
    <row r="36" spans="1:8">
      <c r="A36" s="1" t="s">
        <v>13</v>
      </c>
      <c r="B36" s="5">
        <f>25/25</f>
        <v>1</v>
      </c>
      <c r="C36" s="5">
        <f>9/9</f>
        <v>1</v>
      </c>
      <c r="D36" s="5">
        <f>24/24</f>
        <v>1</v>
      </c>
      <c r="E36" s="5">
        <f>8/8</f>
        <v>1</v>
      </c>
      <c r="F36" s="5"/>
      <c r="G36" s="5"/>
    </row>
    <row r="37" spans="1:8">
      <c r="A37" s="4" t="s">
        <v>49</v>
      </c>
      <c r="B37" s="4" t="s">
        <v>50</v>
      </c>
      <c r="C37" s="4">
        <v>7</v>
      </c>
      <c r="D37" s="4">
        <v>6</v>
      </c>
      <c r="E37" s="4">
        <v>7</v>
      </c>
      <c r="F37" s="4">
        <v>3</v>
      </c>
      <c r="G37" s="4">
        <v>0</v>
      </c>
    </row>
    <row r="38" spans="1:8">
      <c r="A38" s="1" t="s">
        <v>10</v>
      </c>
      <c r="B38" s="5">
        <f>7/7</f>
        <v>1</v>
      </c>
      <c r="C38" s="5">
        <f>7/7</f>
        <v>1</v>
      </c>
      <c r="D38" s="5">
        <f>6/6</f>
        <v>1</v>
      </c>
      <c r="E38" s="5">
        <f>7/7</f>
        <v>1</v>
      </c>
      <c r="F38" s="5">
        <f>3/3</f>
        <v>1</v>
      </c>
      <c r="G38" s="5"/>
    </row>
    <row r="39" spans="1:8">
      <c r="A39" s="1" t="s">
        <v>11</v>
      </c>
      <c r="B39" s="5">
        <f>34/34</f>
        <v>1</v>
      </c>
      <c r="C39" s="5">
        <f>22/22</f>
        <v>1</v>
      </c>
      <c r="D39" s="5">
        <f>31/31</f>
        <v>1</v>
      </c>
      <c r="E39" s="5">
        <f>33/34</f>
        <v>0.97058823529411764</v>
      </c>
      <c r="F39" s="5"/>
      <c r="G39" s="5"/>
      <c r="H39" s="6"/>
    </row>
    <row r="40" spans="1:8">
      <c r="A40" s="1" t="s">
        <v>12</v>
      </c>
      <c r="B40" s="5">
        <f>7/7</f>
        <v>1</v>
      </c>
      <c r="C40" s="5">
        <f>7/14</f>
        <v>0.5</v>
      </c>
      <c r="D40" s="5">
        <f>6/12</f>
        <v>0.5</v>
      </c>
      <c r="E40" s="5">
        <f>7/7</f>
        <v>1</v>
      </c>
      <c r="F40" s="5">
        <f>6/6</f>
        <v>1</v>
      </c>
      <c r="G40" s="5"/>
    </row>
    <row r="41" spans="1:8">
      <c r="A41" s="1" t="s">
        <v>13</v>
      </c>
      <c r="B41" s="5">
        <f>33/33</f>
        <v>1</v>
      </c>
      <c r="C41" s="5">
        <f>21/21</f>
        <v>1</v>
      </c>
      <c r="D41" s="5">
        <f>24/24</f>
        <v>1</v>
      </c>
      <c r="E41" s="5">
        <f>26/26</f>
        <v>1</v>
      </c>
      <c r="F41" s="5">
        <f>6/6</f>
        <v>1</v>
      </c>
      <c r="G41" s="5"/>
    </row>
    <row r="42" spans="1:8">
      <c r="A42" s="4" t="s">
        <v>51</v>
      </c>
      <c r="B42" s="4">
        <v>10</v>
      </c>
      <c r="C42" s="4" t="s">
        <v>52</v>
      </c>
      <c r="D42" s="4">
        <v>13</v>
      </c>
      <c r="E42" s="4">
        <v>13</v>
      </c>
      <c r="F42" s="4" t="s">
        <v>53</v>
      </c>
      <c r="G42" s="4">
        <v>2</v>
      </c>
    </row>
    <row r="43" spans="1:8">
      <c r="A43" s="1" t="s">
        <v>10</v>
      </c>
      <c r="B43" s="5">
        <f>10/10</f>
        <v>1</v>
      </c>
      <c r="C43" s="5">
        <f>9/9</f>
        <v>1</v>
      </c>
      <c r="D43" s="5">
        <f>13/13</f>
        <v>1</v>
      </c>
      <c r="E43" s="5">
        <f>12/13</f>
        <v>0.92307692307692313</v>
      </c>
      <c r="F43" s="5">
        <f>2/2</f>
        <v>1</v>
      </c>
      <c r="G43" s="5">
        <f>2/2</f>
        <v>1</v>
      </c>
    </row>
    <row r="44" spans="1:8">
      <c r="A44" s="1" t="s">
        <v>11</v>
      </c>
      <c r="B44" s="5">
        <f>60/60</f>
        <v>1</v>
      </c>
      <c r="C44" s="5">
        <f>36/36</f>
        <v>1</v>
      </c>
      <c r="D44" s="5">
        <f>78/78</f>
        <v>1</v>
      </c>
      <c r="E44" s="5">
        <f>60/62</f>
        <v>0.967741935483871</v>
      </c>
      <c r="F44" s="5"/>
      <c r="G44" s="5">
        <f>12/12</f>
        <v>1</v>
      </c>
    </row>
    <row r="45" spans="1:8">
      <c r="A45" s="1" t="s">
        <v>12</v>
      </c>
      <c r="B45" s="5">
        <f>10/10</f>
        <v>1</v>
      </c>
      <c r="C45" s="5">
        <f>13/18</f>
        <v>0.72222222222222221</v>
      </c>
      <c r="D45" s="5">
        <f>13/26</f>
        <v>0.5</v>
      </c>
      <c r="E45" s="5">
        <f>13/13</f>
        <v>1</v>
      </c>
      <c r="F45" s="5">
        <f>2/4</f>
        <v>0.5</v>
      </c>
      <c r="G45" s="5">
        <f>2/2</f>
        <v>1</v>
      </c>
    </row>
    <row r="46" spans="1:8">
      <c r="A46" s="1" t="s">
        <v>13</v>
      </c>
      <c r="B46" s="5">
        <f>50/50</f>
        <v>1</v>
      </c>
      <c r="C46" s="5">
        <f>27/27</f>
        <v>1</v>
      </c>
      <c r="D46" s="5">
        <f>52/52</f>
        <v>1</v>
      </c>
      <c r="E46" s="5">
        <f>52/52</f>
        <v>1</v>
      </c>
      <c r="F46" s="5">
        <f>4/4</f>
        <v>1</v>
      </c>
      <c r="G46" s="5">
        <f>6/6</f>
        <v>1</v>
      </c>
    </row>
    <row r="47" spans="1:8">
      <c r="A47" s="4" t="s">
        <v>54</v>
      </c>
      <c r="B47" s="4">
        <v>5</v>
      </c>
      <c r="C47" s="4">
        <v>4</v>
      </c>
      <c r="D47" s="4" t="s">
        <v>55</v>
      </c>
      <c r="E47" s="4" t="s">
        <v>56</v>
      </c>
      <c r="F47" s="8">
        <v>4</v>
      </c>
      <c r="G47" s="4">
        <v>0</v>
      </c>
    </row>
    <row r="48" spans="1:8">
      <c r="A48" s="1" t="s">
        <v>10</v>
      </c>
      <c r="B48" s="5">
        <f>5/5</f>
        <v>1</v>
      </c>
      <c r="C48" s="5">
        <f>4/4</f>
        <v>1</v>
      </c>
      <c r="D48" s="5">
        <f>3/3</f>
        <v>1</v>
      </c>
      <c r="E48" s="5">
        <f>4/4</f>
        <v>1</v>
      </c>
      <c r="F48" s="5">
        <f>4/4</f>
        <v>1</v>
      </c>
      <c r="G48" s="1"/>
    </row>
    <row r="49" spans="1:7">
      <c r="A49" s="1" t="s">
        <v>11</v>
      </c>
      <c r="B49" s="5">
        <f>30/30</f>
        <v>1</v>
      </c>
      <c r="C49" s="5">
        <f>16/16</f>
        <v>1</v>
      </c>
      <c r="D49" s="5">
        <f>18/18</f>
        <v>1</v>
      </c>
      <c r="E49" s="5">
        <f>20/20</f>
        <v>1</v>
      </c>
      <c r="F49" s="1"/>
      <c r="G49" s="1"/>
    </row>
    <row r="50" spans="1:7">
      <c r="A50" s="1" t="s">
        <v>12</v>
      </c>
      <c r="B50" s="5">
        <f>5/5</f>
        <v>1</v>
      </c>
      <c r="C50" s="5">
        <f>4/8</f>
        <v>0.5</v>
      </c>
      <c r="D50" s="5">
        <f>6/6</f>
        <v>1</v>
      </c>
      <c r="E50" s="5">
        <f>4/4</f>
        <v>1</v>
      </c>
      <c r="F50" s="5">
        <f>8/8</f>
        <v>1</v>
      </c>
      <c r="G50" s="1"/>
    </row>
    <row r="51" spans="1:7">
      <c r="A51" s="1" t="s">
        <v>13</v>
      </c>
      <c r="B51" s="5">
        <f>25/25</f>
        <v>1</v>
      </c>
      <c r="C51" s="5">
        <f>12/12</f>
        <v>1</v>
      </c>
      <c r="D51" s="5">
        <f>12/12</f>
        <v>1</v>
      </c>
      <c r="E51" s="5">
        <f>15/16</f>
        <v>0.9375</v>
      </c>
      <c r="F51" s="5">
        <f>8/8</f>
        <v>1</v>
      </c>
      <c r="G51" s="1"/>
    </row>
  </sheetData>
  <conditionalFormatting sqref="B48:E51">
    <cfRule type="cellIs" dxfId="179" priority="7" operator="greaterThanOrEqual">
      <formula>0.7</formula>
    </cfRule>
    <cfRule type="containsBlanks" dxfId="178" priority="5">
      <formula>LEN(TRIM(B48))=0</formula>
    </cfRule>
    <cfRule type="cellIs" dxfId="177" priority="6" operator="greaterThanOrEqual">
      <formula>0.95</formula>
    </cfRule>
    <cfRule type="cellIs" dxfId="176" priority="8" operator="between">
      <formula>0</formula>
      <formula>0.7</formula>
    </cfRule>
  </conditionalFormatting>
  <conditionalFormatting sqref="B3:G6">
    <cfRule type="cellIs" dxfId="175" priority="22" operator="greaterThanOrEqual">
      <formula>0.95</formula>
    </cfRule>
    <cfRule type="cellIs" dxfId="174" priority="23" operator="greaterThanOrEqual">
      <formula>0.7</formula>
    </cfRule>
    <cfRule type="cellIs" dxfId="173" priority="24" operator="between">
      <formula>0</formula>
      <formula>0.7</formula>
    </cfRule>
    <cfRule type="containsBlanks" dxfId="172" priority="21">
      <formula>LEN(TRIM(B3))=0</formula>
    </cfRule>
  </conditionalFormatting>
  <conditionalFormatting sqref="B8:G11">
    <cfRule type="cellIs" dxfId="171" priority="28" operator="between">
      <formula>0</formula>
      <formula>0.7</formula>
    </cfRule>
    <cfRule type="cellIs" dxfId="170" priority="27" operator="greaterThanOrEqual">
      <formula>0.7</formula>
    </cfRule>
    <cfRule type="containsBlanks" dxfId="169" priority="25">
      <formula>LEN(TRIM(B8))=0</formula>
    </cfRule>
    <cfRule type="cellIs" dxfId="168" priority="26" operator="greaterThanOrEqual">
      <formula>0.95</formula>
    </cfRule>
  </conditionalFormatting>
  <conditionalFormatting sqref="B13:G16">
    <cfRule type="containsBlanks" dxfId="167" priority="37">
      <formula>LEN(TRIM(B13))=0</formula>
    </cfRule>
    <cfRule type="cellIs" dxfId="166" priority="38" operator="greaterThanOrEqual">
      <formula>0.95</formula>
    </cfRule>
    <cfRule type="cellIs" dxfId="165" priority="39" operator="greaterThanOrEqual">
      <formula>0.7</formula>
    </cfRule>
    <cfRule type="cellIs" dxfId="164" priority="40" operator="between">
      <formula>0</formula>
      <formula>0.7</formula>
    </cfRule>
  </conditionalFormatting>
  <conditionalFormatting sqref="B18:G21">
    <cfRule type="cellIs" dxfId="163" priority="36" operator="between">
      <formula>0</formula>
      <formula>0.7</formula>
    </cfRule>
    <cfRule type="cellIs" dxfId="162" priority="35" operator="greaterThanOrEqual">
      <formula>0.7</formula>
    </cfRule>
    <cfRule type="cellIs" dxfId="161" priority="34" operator="greaterThanOrEqual">
      <formula>0.95</formula>
    </cfRule>
    <cfRule type="containsBlanks" dxfId="160" priority="33">
      <formula>LEN(TRIM(B18))=0</formula>
    </cfRule>
  </conditionalFormatting>
  <conditionalFormatting sqref="B23:G26">
    <cfRule type="cellIs" dxfId="159" priority="31" operator="greaterThanOrEqual">
      <formula>0.7</formula>
    </cfRule>
    <cfRule type="cellIs" dxfId="158" priority="32" operator="between">
      <formula>0</formula>
      <formula>0.7</formula>
    </cfRule>
    <cfRule type="cellIs" dxfId="157" priority="30" operator="greaterThanOrEqual">
      <formula>0.95</formula>
    </cfRule>
    <cfRule type="containsBlanks" dxfId="156" priority="29">
      <formula>LEN(TRIM(B23))=0</formula>
    </cfRule>
  </conditionalFormatting>
  <conditionalFormatting sqref="B28:G31">
    <cfRule type="containsBlanks" dxfId="155" priority="13">
      <formula>LEN(TRIM(B28))=0</formula>
    </cfRule>
    <cfRule type="cellIs" dxfId="154" priority="14" operator="greaterThanOrEqual">
      <formula>0.95</formula>
    </cfRule>
    <cfRule type="cellIs" dxfId="153" priority="15" operator="greaterThanOrEqual">
      <formula>0.7</formula>
    </cfRule>
    <cfRule type="cellIs" dxfId="152" priority="16" operator="between">
      <formula>0</formula>
      <formula>0.7</formula>
    </cfRule>
  </conditionalFormatting>
  <conditionalFormatting sqref="B33:G36">
    <cfRule type="cellIs" dxfId="151" priority="12" operator="between">
      <formula>0</formula>
      <formula>0.7</formula>
    </cfRule>
    <cfRule type="cellIs" dxfId="150" priority="11" operator="greaterThanOrEqual">
      <formula>0.7</formula>
    </cfRule>
    <cfRule type="cellIs" dxfId="149" priority="10" operator="greaterThanOrEqual">
      <formula>0.95</formula>
    </cfRule>
    <cfRule type="containsBlanks" dxfId="148" priority="9">
      <formula>LEN(TRIM(B33))=0</formula>
    </cfRule>
  </conditionalFormatting>
  <conditionalFormatting sqref="B38:G41">
    <cfRule type="cellIs" dxfId="147" priority="19" operator="greaterThanOrEqual">
      <formula>0.7</formula>
    </cfRule>
    <cfRule type="cellIs" dxfId="146" priority="20" operator="between">
      <formula>0</formula>
      <formula>0.7</formula>
    </cfRule>
    <cfRule type="cellIs" dxfId="145" priority="18" operator="greaterThanOrEqual">
      <formula>0.95</formula>
    </cfRule>
    <cfRule type="containsBlanks" dxfId="144" priority="17">
      <formula>LEN(TRIM(B38))=0</formula>
    </cfRule>
  </conditionalFormatting>
  <conditionalFormatting sqref="B43:G46">
    <cfRule type="containsBlanks" dxfId="143" priority="1">
      <formula>LEN(TRIM(B43))=0</formula>
    </cfRule>
    <cfRule type="cellIs" dxfId="142" priority="4" operator="between">
      <formula>0</formula>
      <formula>0.7</formula>
    </cfRule>
    <cfRule type="cellIs" dxfId="141" priority="3" operator="greaterThanOrEqual">
      <formula>0.7</formula>
    </cfRule>
    <cfRule type="cellIs" dxfId="140" priority="2" operator="greaterThanOrEqual">
      <formula>0.95</formula>
    </cfRule>
  </conditionalFormatting>
  <conditionalFormatting sqref="F48">
    <cfRule type="cellIs" dxfId="139" priority="168" operator="between">
      <formula>0</formula>
      <formula>0.7</formula>
    </cfRule>
    <cfRule type="containsBlanks" dxfId="138" priority="165">
      <formula>LEN(TRIM(F48))=0</formula>
    </cfRule>
    <cfRule type="cellIs" dxfId="137" priority="166" operator="greaterThanOrEqual">
      <formula>0.95</formula>
    </cfRule>
    <cfRule type="cellIs" dxfId="136" priority="167" operator="greaterThanOrEqual">
      <formula>0.7</formula>
    </cfRule>
  </conditionalFormatting>
  <conditionalFormatting sqref="F50:F51">
    <cfRule type="containsBlanks" dxfId="135" priority="161">
      <formula>LEN(TRIM(F50))=0</formula>
    </cfRule>
    <cfRule type="cellIs" dxfId="134" priority="163" operator="greaterThanOrEqual">
      <formula>0.7</formula>
    </cfRule>
    <cfRule type="cellIs" dxfId="133" priority="164" operator="between">
      <formula>0</formula>
      <formula>0.7</formula>
    </cfRule>
    <cfRule type="cellIs" dxfId="132" priority="162" operator="greaterThanOrEqual">
      <formula>0.95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56"/>
  <sheetViews>
    <sheetView workbookViewId="0">
      <pane ySplit="1" topLeftCell="A2" activePane="bottomLeft" state="frozen"/>
      <selection pane="bottomLeft"/>
    </sheetView>
  </sheetViews>
  <sheetFormatPr defaultColWidth="8.75" defaultRowHeight="10.15"/>
  <cols>
    <col min="1" max="1" width="14.875" style="2" bestFit="1" customWidth="1"/>
    <col min="2" max="2" width="5.625" style="2" bestFit="1" customWidth="1"/>
    <col min="3" max="3" width="9.5" style="2" bestFit="1" customWidth="1"/>
    <col min="4" max="4" width="6.125" style="2" bestFit="1" customWidth="1"/>
    <col min="5" max="5" width="9.5" style="2" bestFit="1" customWidth="1"/>
    <col min="6" max="6" width="9.25" style="2" bestFit="1" customWidth="1"/>
    <col min="7" max="7" width="7" style="2" bestFit="1" customWidth="1"/>
    <col min="8" max="8" width="6.125" style="2" customWidth="1"/>
    <col min="9" max="9" width="23.625" style="2" bestFit="1" customWidth="1"/>
    <col min="10" max="16384" width="8.75" style="2"/>
  </cols>
  <sheetData>
    <row r="1" spans="1:9" ht="40.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1"/>
      <c r="I1" s="6" t="s">
        <v>7</v>
      </c>
    </row>
    <row r="2" spans="1:9">
      <c r="A2" s="4" t="s">
        <v>8</v>
      </c>
      <c r="B2" s="4">
        <v>7</v>
      </c>
      <c r="C2" s="4">
        <v>7</v>
      </c>
      <c r="D2" s="4">
        <v>7</v>
      </c>
      <c r="E2" s="4">
        <v>1</v>
      </c>
      <c r="F2" s="4" t="s">
        <v>38</v>
      </c>
      <c r="G2" s="4">
        <v>0</v>
      </c>
      <c r="H2" s="13"/>
      <c r="I2" s="6"/>
    </row>
    <row r="3" spans="1:9">
      <c r="A3" s="1" t="s">
        <v>10</v>
      </c>
      <c r="B3" s="5">
        <f>7/7</f>
        <v>1</v>
      </c>
      <c r="C3" s="5">
        <f>7/7</f>
        <v>1</v>
      </c>
      <c r="D3" s="5">
        <f>7/7</f>
        <v>1</v>
      </c>
      <c r="E3" s="5">
        <f>1/1</f>
        <v>1</v>
      </c>
      <c r="F3" s="14">
        <f>1/1</f>
        <v>1</v>
      </c>
      <c r="G3" s="5"/>
      <c r="H3" s="12"/>
      <c r="I3" s="6"/>
    </row>
    <row r="4" spans="1:9">
      <c r="A4" s="1" t="s">
        <v>11</v>
      </c>
      <c r="B4" s="5">
        <f>42/42</f>
        <v>1</v>
      </c>
      <c r="C4" s="5">
        <f>28/28</f>
        <v>1</v>
      </c>
      <c r="D4" s="5">
        <f>42/42</f>
        <v>1</v>
      </c>
      <c r="E4" s="5">
        <f>5/6</f>
        <v>0.83333333333333337</v>
      </c>
      <c r="F4" s="5"/>
      <c r="G4" s="5"/>
      <c r="H4" s="12"/>
      <c r="I4" s="6"/>
    </row>
    <row r="5" spans="1:9">
      <c r="A5" s="1" t="s">
        <v>12</v>
      </c>
      <c r="B5" s="5">
        <f>7/7</f>
        <v>1</v>
      </c>
      <c r="C5" s="9">
        <f>7/14</f>
        <v>0.5</v>
      </c>
      <c r="D5" s="5">
        <f>7/14</f>
        <v>0.5</v>
      </c>
      <c r="E5" s="5">
        <f>1/1</f>
        <v>1</v>
      </c>
      <c r="F5" s="5">
        <f>2/2</f>
        <v>1</v>
      </c>
      <c r="G5" s="5"/>
      <c r="H5" s="12"/>
      <c r="I5" s="6"/>
    </row>
    <row r="6" spans="1:9">
      <c r="A6" s="1" t="s">
        <v>13</v>
      </c>
      <c r="B6" s="5">
        <f>35/35</f>
        <v>1</v>
      </c>
      <c r="C6" s="5">
        <f>21/21</f>
        <v>1</v>
      </c>
      <c r="D6" s="5">
        <f>28/28</f>
        <v>1</v>
      </c>
      <c r="E6" s="5">
        <f>4/4</f>
        <v>1</v>
      </c>
      <c r="F6" s="5">
        <f>2/2</f>
        <v>1</v>
      </c>
      <c r="G6" s="5"/>
      <c r="H6" s="12"/>
      <c r="I6" s="6"/>
    </row>
    <row r="7" spans="1:9">
      <c r="A7" s="4" t="s">
        <v>33</v>
      </c>
      <c r="B7" s="4">
        <v>10</v>
      </c>
      <c r="C7" s="4" t="s">
        <v>57</v>
      </c>
      <c r="D7" s="4" t="s">
        <v>58</v>
      </c>
      <c r="E7" s="4">
        <v>13</v>
      </c>
      <c r="F7" s="4" t="s">
        <v>59</v>
      </c>
      <c r="G7" s="4">
        <v>0</v>
      </c>
      <c r="I7" s="6"/>
    </row>
    <row r="8" spans="1:9">
      <c r="A8" s="1" t="s">
        <v>10</v>
      </c>
      <c r="B8" s="5">
        <f>10/10</f>
        <v>1</v>
      </c>
      <c r="C8" s="5">
        <f>12/13</f>
        <v>0.92307692307692313</v>
      </c>
      <c r="D8" s="5">
        <f>12/12</f>
        <v>1</v>
      </c>
      <c r="E8" s="5">
        <f>13/13</f>
        <v>1</v>
      </c>
      <c r="F8" s="5">
        <f>8/8</f>
        <v>1</v>
      </c>
      <c r="G8" s="5"/>
      <c r="H8" s="12"/>
      <c r="I8" s="6"/>
    </row>
    <row r="9" spans="1:9">
      <c r="A9" s="1" t="s">
        <v>11</v>
      </c>
      <c r="B9" s="5">
        <f>60/60</f>
        <v>1</v>
      </c>
      <c r="C9" s="5">
        <f>52/52</f>
        <v>1</v>
      </c>
      <c r="D9" s="5">
        <f>72/72</f>
        <v>1</v>
      </c>
      <c r="E9" s="5">
        <f>78/78</f>
        <v>1</v>
      </c>
      <c r="F9" s="5"/>
      <c r="G9" s="5"/>
      <c r="H9" s="12"/>
      <c r="I9" s="6"/>
    </row>
    <row r="10" spans="1:9">
      <c r="A10" s="1" t="s">
        <v>12</v>
      </c>
      <c r="B10" s="5">
        <f>10/10</f>
        <v>1</v>
      </c>
      <c r="C10" s="7">
        <f>13/26</f>
        <v>0.5</v>
      </c>
      <c r="D10" s="5">
        <f>12/24</f>
        <v>0.5</v>
      </c>
      <c r="E10" s="5">
        <f>13/13</f>
        <v>1</v>
      </c>
      <c r="F10" s="5">
        <f>9/16</f>
        <v>0.5625</v>
      </c>
      <c r="G10" s="5"/>
      <c r="H10" s="12"/>
      <c r="I10" s="6"/>
    </row>
    <row r="11" spans="1:9">
      <c r="A11" s="1" t="s">
        <v>13</v>
      </c>
      <c r="B11" s="5">
        <f>50/50</f>
        <v>1</v>
      </c>
      <c r="C11" s="5">
        <f>39/39</f>
        <v>1</v>
      </c>
      <c r="D11" s="5">
        <f>48/48</f>
        <v>1</v>
      </c>
      <c r="E11" s="5">
        <f>52/52</f>
        <v>1</v>
      </c>
      <c r="F11" s="5">
        <f>16/16</f>
        <v>1</v>
      </c>
      <c r="G11" s="5"/>
      <c r="H11" s="12"/>
      <c r="I11" s="6"/>
    </row>
    <row r="12" spans="1:9">
      <c r="A12" s="4" t="s">
        <v>35</v>
      </c>
      <c r="B12" s="4">
        <v>6</v>
      </c>
      <c r="C12" s="10" t="s">
        <v>46</v>
      </c>
      <c r="D12" s="4" t="s">
        <v>60</v>
      </c>
      <c r="E12" s="4">
        <v>7</v>
      </c>
      <c r="F12" s="4" t="s">
        <v>61</v>
      </c>
      <c r="G12" s="4">
        <v>0</v>
      </c>
      <c r="H12" s="13"/>
      <c r="I12" s="6"/>
    </row>
    <row r="13" spans="1:9">
      <c r="A13" s="1" t="s">
        <v>10</v>
      </c>
      <c r="B13" s="5">
        <f>6/6</f>
        <v>1</v>
      </c>
      <c r="C13" s="5">
        <f>5/5</f>
        <v>1</v>
      </c>
      <c r="D13" s="5">
        <f>8/8</f>
        <v>1</v>
      </c>
      <c r="E13" s="5">
        <f>7/7</f>
        <v>1</v>
      </c>
      <c r="F13" s="5">
        <f>2/2</f>
        <v>1</v>
      </c>
      <c r="G13" s="5"/>
      <c r="H13" s="12"/>
      <c r="I13" s="6"/>
    </row>
    <row r="14" spans="1:9">
      <c r="A14" s="1" t="s">
        <v>11</v>
      </c>
      <c r="B14" s="5">
        <f>36/36</f>
        <v>1</v>
      </c>
      <c r="C14" s="5">
        <f>20/20</f>
        <v>1</v>
      </c>
      <c r="D14" s="5">
        <f>48/48</f>
        <v>1</v>
      </c>
      <c r="E14" s="5">
        <f>42/42</f>
        <v>1</v>
      </c>
      <c r="F14" s="5"/>
      <c r="G14" s="5"/>
      <c r="H14" s="12"/>
      <c r="I14" s="6"/>
    </row>
    <row r="15" spans="1:9">
      <c r="A15" s="1" t="s">
        <v>12</v>
      </c>
      <c r="B15" s="5">
        <f>6/6</f>
        <v>1</v>
      </c>
      <c r="C15" s="5">
        <f>5/10</f>
        <v>0.5</v>
      </c>
      <c r="D15" s="5">
        <f>8/16</f>
        <v>0.5</v>
      </c>
      <c r="E15" s="5">
        <f>7/7</f>
        <v>1</v>
      </c>
      <c r="F15" s="5">
        <f>3/4</f>
        <v>0.75</v>
      </c>
      <c r="G15" s="5"/>
      <c r="H15" s="12"/>
      <c r="I15" s="6"/>
    </row>
    <row r="16" spans="1:9">
      <c r="A16" s="1" t="s">
        <v>13</v>
      </c>
      <c r="B16" s="5">
        <f>30/30</f>
        <v>1</v>
      </c>
      <c r="C16" s="5">
        <f>15/15</f>
        <v>1</v>
      </c>
      <c r="D16" s="5">
        <f>32/32</f>
        <v>1</v>
      </c>
      <c r="E16" s="5">
        <f>28/28</f>
        <v>1</v>
      </c>
      <c r="F16" s="5">
        <f>4/4</f>
        <v>1</v>
      </c>
      <c r="G16" s="5"/>
      <c r="H16" s="12"/>
      <c r="I16" s="6"/>
    </row>
    <row r="17" spans="1:9">
      <c r="A17" s="4" t="s">
        <v>21</v>
      </c>
      <c r="B17" s="4">
        <v>10</v>
      </c>
      <c r="C17" s="8" t="s">
        <v>40</v>
      </c>
      <c r="D17" s="4">
        <v>12</v>
      </c>
      <c r="E17" s="4">
        <v>7</v>
      </c>
      <c r="F17" s="4" t="s">
        <v>56</v>
      </c>
      <c r="G17" s="4" t="s">
        <v>28</v>
      </c>
      <c r="H17" s="13"/>
      <c r="I17" s="6"/>
    </row>
    <row r="18" spans="1:9">
      <c r="A18" s="1" t="s">
        <v>10</v>
      </c>
      <c r="B18" s="5">
        <f>10/10</f>
        <v>1</v>
      </c>
      <c r="C18" s="5">
        <f>6/6</f>
        <v>1</v>
      </c>
      <c r="D18" s="5">
        <f>12/12</f>
        <v>1</v>
      </c>
      <c r="E18" s="5">
        <f>6/7</f>
        <v>0.8571428571428571</v>
      </c>
      <c r="F18" s="5">
        <f>4/4</f>
        <v>1</v>
      </c>
      <c r="G18" s="5"/>
      <c r="H18" s="12"/>
      <c r="I18" s="6"/>
    </row>
    <row r="19" spans="1:9">
      <c r="A19" s="1" t="s">
        <v>11</v>
      </c>
      <c r="B19" s="5">
        <f>60/60</f>
        <v>1</v>
      </c>
      <c r="C19" s="5">
        <f>24/24</f>
        <v>1</v>
      </c>
      <c r="D19" s="5">
        <f>72/72</f>
        <v>1</v>
      </c>
      <c r="E19" s="5">
        <f>39/42</f>
        <v>0.9285714285714286</v>
      </c>
      <c r="F19" s="5"/>
      <c r="G19" s="5"/>
      <c r="H19" s="12"/>
      <c r="I19" s="6"/>
    </row>
    <row r="20" spans="1:9">
      <c r="A20" s="1" t="s">
        <v>12</v>
      </c>
      <c r="B20" s="5">
        <f>10/10</f>
        <v>1</v>
      </c>
      <c r="C20" s="5">
        <f>6/12</f>
        <v>0.5</v>
      </c>
      <c r="D20" s="5">
        <f>12/24</f>
        <v>0.5</v>
      </c>
      <c r="E20" s="5">
        <f>7/7</f>
        <v>1</v>
      </c>
      <c r="F20" s="5">
        <f>5/8</f>
        <v>0.625</v>
      </c>
      <c r="G20" s="5"/>
      <c r="H20" s="12"/>
      <c r="I20" s="6"/>
    </row>
    <row r="21" spans="1:9">
      <c r="A21" s="1" t="s">
        <v>13</v>
      </c>
      <c r="B21" s="5">
        <f>50/50</f>
        <v>1</v>
      </c>
      <c r="C21" s="5">
        <f>18/18</f>
        <v>1</v>
      </c>
      <c r="D21" s="5">
        <f>48/48</f>
        <v>1</v>
      </c>
      <c r="E21" s="5">
        <f>28/28</f>
        <v>1</v>
      </c>
      <c r="F21" s="5">
        <f>8/8</f>
        <v>1</v>
      </c>
      <c r="G21" s="5"/>
      <c r="H21" s="12"/>
      <c r="I21" s="6"/>
    </row>
    <row r="22" spans="1:9">
      <c r="A22" s="4" t="s">
        <v>26</v>
      </c>
      <c r="B22" s="4">
        <v>4</v>
      </c>
      <c r="C22" s="4">
        <v>4</v>
      </c>
      <c r="D22" s="4">
        <v>4</v>
      </c>
      <c r="E22" s="4">
        <v>3</v>
      </c>
      <c r="F22" s="4">
        <v>4</v>
      </c>
      <c r="G22" s="4">
        <v>0</v>
      </c>
      <c r="I22" s="6"/>
    </row>
    <row r="23" spans="1:9">
      <c r="A23" s="1" t="s">
        <v>10</v>
      </c>
      <c r="B23" s="5">
        <f>4/4</f>
        <v>1</v>
      </c>
      <c r="C23" s="5">
        <f>4/4</f>
        <v>1</v>
      </c>
      <c r="D23" s="5">
        <f>4/4</f>
        <v>1</v>
      </c>
      <c r="E23" s="5">
        <f>3/3</f>
        <v>1</v>
      </c>
      <c r="F23" s="5">
        <f>4/4</f>
        <v>1</v>
      </c>
      <c r="G23" s="5"/>
      <c r="H23" s="12"/>
      <c r="I23" s="6"/>
    </row>
    <row r="24" spans="1:9">
      <c r="A24" s="1" t="s">
        <v>11</v>
      </c>
      <c r="B24" s="5">
        <f>24/24</f>
        <v>1</v>
      </c>
      <c r="C24" s="5">
        <f>16/16</f>
        <v>1</v>
      </c>
      <c r="D24" s="5">
        <f>24/24</f>
        <v>1</v>
      </c>
      <c r="E24" s="5">
        <f>18/18</f>
        <v>1</v>
      </c>
      <c r="F24" s="5"/>
      <c r="G24" s="5"/>
      <c r="H24" s="12"/>
      <c r="I24" s="6"/>
    </row>
    <row r="25" spans="1:9">
      <c r="A25" s="1" t="s">
        <v>12</v>
      </c>
      <c r="B25" s="5">
        <f>4/4</f>
        <v>1</v>
      </c>
      <c r="C25" s="5">
        <f>4/8</f>
        <v>0.5</v>
      </c>
      <c r="D25" s="5">
        <f>4/8</f>
        <v>0.5</v>
      </c>
      <c r="E25" s="5">
        <f>3/3</f>
        <v>1</v>
      </c>
      <c r="F25" s="5">
        <f>5/8</f>
        <v>0.625</v>
      </c>
      <c r="G25" s="5"/>
      <c r="H25" s="12"/>
      <c r="I25" s="6"/>
    </row>
    <row r="26" spans="1:9">
      <c r="A26" s="1" t="s">
        <v>13</v>
      </c>
      <c r="B26" s="5">
        <f>20/20</f>
        <v>1</v>
      </c>
      <c r="C26" s="5">
        <f>12/12</f>
        <v>1</v>
      </c>
      <c r="D26" s="5">
        <f>16/16</f>
        <v>1</v>
      </c>
      <c r="E26" s="5">
        <f>12/12</f>
        <v>1</v>
      </c>
      <c r="F26" s="5">
        <f>8/8</f>
        <v>1</v>
      </c>
      <c r="G26" s="5"/>
      <c r="H26" s="12"/>
      <c r="I26" s="6"/>
    </row>
    <row r="27" spans="1:9">
      <c r="A27" s="4" t="s">
        <v>62</v>
      </c>
      <c r="B27" s="4">
        <v>0</v>
      </c>
      <c r="C27" s="4">
        <v>0</v>
      </c>
      <c r="D27" s="4">
        <v>0</v>
      </c>
      <c r="E27" s="4"/>
      <c r="F27" s="4">
        <v>0</v>
      </c>
      <c r="G27" s="4">
        <v>0</v>
      </c>
      <c r="I27" s="6"/>
    </row>
    <row r="28" spans="1:9">
      <c r="A28" s="1" t="s">
        <v>10</v>
      </c>
      <c r="B28" s="5"/>
      <c r="C28" s="5"/>
      <c r="D28" s="5"/>
      <c r="E28" s="5"/>
      <c r="F28" s="5"/>
      <c r="G28" s="5"/>
      <c r="H28" s="12"/>
      <c r="I28" s="6"/>
    </row>
    <row r="29" spans="1:9">
      <c r="A29" s="1" t="s">
        <v>11</v>
      </c>
      <c r="B29" s="5"/>
      <c r="C29" s="5"/>
      <c r="D29" s="5"/>
      <c r="E29" s="5"/>
      <c r="F29" s="5"/>
      <c r="G29" s="5"/>
      <c r="H29" s="12"/>
      <c r="I29" s="6"/>
    </row>
    <row r="30" spans="1:9">
      <c r="A30" s="1" t="s">
        <v>12</v>
      </c>
      <c r="B30" s="5"/>
      <c r="C30" s="5"/>
      <c r="D30" s="5"/>
      <c r="E30" s="5"/>
      <c r="F30" s="5"/>
      <c r="G30" s="5"/>
      <c r="H30" s="12"/>
      <c r="I30" s="6"/>
    </row>
    <row r="31" spans="1:9">
      <c r="A31" s="1" t="s">
        <v>13</v>
      </c>
      <c r="B31" s="5"/>
      <c r="C31" s="5"/>
      <c r="D31" s="5"/>
      <c r="E31" s="5"/>
      <c r="F31" s="5"/>
      <c r="G31" s="5"/>
      <c r="H31" s="12"/>
      <c r="I31" s="6"/>
    </row>
    <row r="32" spans="1:9">
      <c r="A32" s="4" t="s">
        <v>63</v>
      </c>
      <c r="B32" s="4" t="s">
        <v>64</v>
      </c>
      <c r="C32" s="4" t="s">
        <v>65</v>
      </c>
      <c r="D32" s="4" t="s">
        <v>66</v>
      </c>
      <c r="E32" s="4" t="s">
        <v>67</v>
      </c>
      <c r="F32" s="4" t="s">
        <v>68</v>
      </c>
      <c r="G32" s="4">
        <v>0</v>
      </c>
      <c r="I32" s="6"/>
    </row>
    <row r="33" spans="1:9">
      <c r="A33" s="1" t="s">
        <v>10</v>
      </c>
      <c r="B33" s="5">
        <f>8/8</f>
        <v>1</v>
      </c>
      <c r="C33" s="5"/>
      <c r="D33" s="5">
        <f>5/5</f>
        <v>1</v>
      </c>
      <c r="E33" s="5">
        <f>5/5</f>
        <v>1</v>
      </c>
      <c r="F33" s="5"/>
      <c r="G33" s="5"/>
      <c r="H33" s="12"/>
      <c r="I33" s="6"/>
    </row>
    <row r="34" spans="1:9">
      <c r="A34" s="1" t="s">
        <v>11</v>
      </c>
      <c r="B34" s="5">
        <f>48/48</f>
        <v>1</v>
      </c>
      <c r="C34" s="5"/>
      <c r="D34" s="5">
        <f>30/30</f>
        <v>1</v>
      </c>
      <c r="E34" s="5">
        <f>30/30</f>
        <v>1</v>
      </c>
      <c r="F34" s="5"/>
      <c r="G34" s="5"/>
      <c r="H34" s="12"/>
      <c r="I34" s="6"/>
    </row>
    <row r="35" spans="1:9">
      <c r="A35" s="1" t="s">
        <v>12</v>
      </c>
      <c r="B35" s="5">
        <f>8/8</f>
        <v>1</v>
      </c>
      <c r="C35" s="5"/>
      <c r="D35" s="5">
        <f>5/10</f>
        <v>0.5</v>
      </c>
      <c r="E35" s="5">
        <f>5/5</f>
        <v>1</v>
      </c>
      <c r="F35" s="5"/>
      <c r="G35" s="5"/>
      <c r="H35" s="12"/>
      <c r="I35" s="6"/>
    </row>
    <row r="36" spans="1:9">
      <c r="A36" s="1" t="s">
        <v>13</v>
      </c>
      <c r="B36" s="5">
        <f>36/40</f>
        <v>0.9</v>
      </c>
      <c r="C36" s="5"/>
      <c r="D36" s="5">
        <f>20/20</f>
        <v>1</v>
      </c>
      <c r="E36" s="5">
        <f>16/20</f>
        <v>0.8</v>
      </c>
      <c r="F36" s="5"/>
      <c r="G36" s="5"/>
      <c r="H36" s="12"/>
      <c r="I36" s="6"/>
    </row>
    <row r="37" spans="1:9">
      <c r="A37" s="4" t="s">
        <v>49</v>
      </c>
      <c r="B37" s="4">
        <v>6</v>
      </c>
      <c r="C37" s="4" t="s">
        <v>40</v>
      </c>
      <c r="D37" s="4">
        <v>7</v>
      </c>
      <c r="E37" s="4">
        <v>8</v>
      </c>
      <c r="F37" s="4">
        <v>3</v>
      </c>
      <c r="G37" s="4">
        <v>0</v>
      </c>
      <c r="I37" s="6"/>
    </row>
    <row r="38" spans="1:9">
      <c r="A38" s="1" t="s">
        <v>10</v>
      </c>
      <c r="B38" s="5">
        <f>6/6</f>
        <v>1</v>
      </c>
      <c r="C38" s="5">
        <f>6/6</f>
        <v>1</v>
      </c>
      <c r="D38" s="5">
        <f>7/7</f>
        <v>1</v>
      </c>
      <c r="E38" s="5">
        <f>8/8</f>
        <v>1</v>
      </c>
      <c r="F38" s="5">
        <f>3/3</f>
        <v>1</v>
      </c>
      <c r="G38" s="5"/>
      <c r="H38" s="12"/>
      <c r="I38" s="6"/>
    </row>
    <row r="39" spans="1:9">
      <c r="A39" s="1" t="s">
        <v>11</v>
      </c>
      <c r="B39" s="5">
        <f>36/36</f>
        <v>1</v>
      </c>
      <c r="C39" s="5">
        <f>23/24</f>
        <v>0.95833333333333337</v>
      </c>
      <c r="D39" s="5">
        <f>42/42</f>
        <v>1</v>
      </c>
      <c r="E39" s="5">
        <f>36/48</f>
        <v>0.75</v>
      </c>
      <c r="F39" s="5"/>
      <c r="G39" s="5"/>
      <c r="H39" s="12"/>
      <c r="I39" s="6"/>
    </row>
    <row r="40" spans="1:9">
      <c r="A40" s="1" t="s">
        <v>12</v>
      </c>
      <c r="B40" s="5">
        <f>6/6</f>
        <v>1</v>
      </c>
      <c r="C40" s="5">
        <f>6/12</f>
        <v>0.5</v>
      </c>
      <c r="D40" s="5">
        <f>8/14</f>
        <v>0.5714285714285714</v>
      </c>
      <c r="E40" s="5">
        <f>8/8</f>
        <v>1</v>
      </c>
      <c r="F40" s="5">
        <f>6/6</f>
        <v>1</v>
      </c>
      <c r="G40" s="5"/>
      <c r="H40" s="12"/>
      <c r="I40" s="6"/>
    </row>
    <row r="41" spans="1:9">
      <c r="A41" s="1" t="s">
        <v>13</v>
      </c>
      <c r="B41" s="5">
        <f>30/30</f>
        <v>1</v>
      </c>
      <c r="C41" s="5">
        <f>18/18</f>
        <v>1</v>
      </c>
      <c r="D41" s="5">
        <f>28/28</f>
        <v>1</v>
      </c>
      <c r="E41" s="5">
        <f>32/32</f>
        <v>1</v>
      </c>
      <c r="F41" s="5">
        <f>6/6</f>
        <v>1</v>
      </c>
      <c r="G41" s="5"/>
      <c r="H41" s="12"/>
      <c r="I41" s="6"/>
    </row>
    <row r="42" spans="1:9">
      <c r="A42" s="4" t="s">
        <v>51</v>
      </c>
      <c r="B42" s="4">
        <v>10</v>
      </c>
      <c r="C42" s="4" t="s">
        <v>69</v>
      </c>
      <c r="D42" s="4">
        <v>14</v>
      </c>
      <c r="E42" s="4">
        <v>7</v>
      </c>
      <c r="F42" s="4" t="s">
        <v>70</v>
      </c>
      <c r="G42" s="4">
        <v>2</v>
      </c>
      <c r="H42" s="13"/>
      <c r="I42" s="6"/>
    </row>
    <row r="43" spans="1:9">
      <c r="A43" s="1" t="s">
        <v>10</v>
      </c>
      <c r="B43" s="5">
        <f>10/10</f>
        <v>1</v>
      </c>
      <c r="C43" s="5">
        <f>9/9</f>
        <v>1</v>
      </c>
      <c r="D43" s="5">
        <f>14/14</f>
        <v>1</v>
      </c>
      <c r="E43" s="5">
        <f>7/7</f>
        <v>1</v>
      </c>
      <c r="F43" s="5">
        <f>2/2</f>
        <v>1</v>
      </c>
      <c r="G43" s="5">
        <f>2/2</f>
        <v>1</v>
      </c>
      <c r="H43" s="12"/>
      <c r="I43" s="6"/>
    </row>
    <row r="44" spans="1:9">
      <c r="A44" s="1" t="s">
        <v>11</v>
      </c>
      <c r="B44" s="5">
        <f>60/60</f>
        <v>1</v>
      </c>
      <c r="C44" s="5">
        <f>36/36</f>
        <v>1</v>
      </c>
      <c r="D44" s="5">
        <f>84/84</f>
        <v>1</v>
      </c>
      <c r="E44" s="5">
        <f>42/42</f>
        <v>1</v>
      </c>
      <c r="F44" s="5"/>
      <c r="G44" s="5">
        <f>12/12</f>
        <v>1</v>
      </c>
      <c r="H44" s="12"/>
      <c r="I44" s="6"/>
    </row>
    <row r="45" spans="1:9">
      <c r="A45" s="1" t="s">
        <v>12</v>
      </c>
      <c r="B45" s="5">
        <f>10/10</f>
        <v>1</v>
      </c>
      <c r="C45" s="5">
        <f>13/18</f>
        <v>0.72222222222222221</v>
      </c>
      <c r="D45" s="5">
        <f>15/28</f>
        <v>0.5357142857142857</v>
      </c>
      <c r="E45" s="5">
        <f>7/7</f>
        <v>1</v>
      </c>
      <c r="F45" s="5">
        <f>2/4</f>
        <v>0.5</v>
      </c>
      <c r="G45" s="5">
        <f>2/2</f>
        <v>1</v>
      </c>
      <c r="H45" s="12"/>
      <c r="I45" s="6"/>
    </row>
    <row r="46" spans="1:9">
      <c r="A46" s="1" t="s">
        <v>13</v>
      </c>
      <c r="B46" s="5">
        <f>49/50</f>
        <v>0.98</v>
      </c>
      <c r="C46" s="5">
        <f>27/27</f>
        <v>1</v>
      </c>
      <c r="D46" s="5">
        <f>56/56</f>
        <v>1</v>
      </c>
      <c r="E46" s="5">
        <f>28/28</f>
        <v>1</v>
      </c>
      <c r="F46" s="5">
        <f>4/4</f>
        <v>1</v>
      </c>
      <c r="G46" s="5">
        <f>6/6</f>
        <v>1</v>
      </c>
      <c r="H46" s="12"/>
      <c r="I46" s="6"/>
    </row>
    <row r="47" spans="1:9">
      <c r="A47" s="4" t="s">
        <v>54</v>
      </c>
      <c r="B47" s="4">
        <v>5</v>
      </c>
      <c r="C47" s="4" t="s">
        <v>53</v>
      </c>
      <c r="D47" s="4" t="s">
        <v>55</v>
      </c>
      <c r="E47" s="4">
        <v>5</v>
      </c>
      <c r="F47" s="10" t="s">
        <v>71</v>
      </c>
      <c r="G47" s="4">
        <v>0</v>
      </c>
      <c r="I47" s="6"/>
    </row>
    <row r="48" spans="1:9">
      <c r="A48" s="1" t="s">
        <v>10</v>
      </c>
      <c r="B48" s="5">
        <f>5/5</f>
        <v>1</v>
      </c>
      <c r="C48" s="5">
        <f>2/2</f>
        <v>1</v>
      </c>
      <c r="D48" s="5">
        <f>3/3</f>
        <v>1</v>
      </c>
      <c r="E48" s="5">
        <f>5/5</f>
        <v>1</v>
      </c>
      <c r="F48" s="5">
        <f>3/3</f>
        <v>1</v>
      </c>
      <c r="G48" s="1"/>
      <c r="H48" s="12"/>
      <c r="I48" s="6"/>
    </row>
    <row r="49" spans="1:9">
      <c r="A49" s="1" t="s">
        <v>11</v>
      </c>
      <c r="B49" s="5">
        <f>30/30</f>
        <v>1</v>
      </c>
      <c r="C49" s="5">
        <f>8/8</f>
        <v>1</v>
      </c>
      <c r="D49" s="5">
        <f>18/18</f>
        <v>1</v>
      </c>
      <c r="E49" s="5">
        <f>30/30</f>
        <v>1</v>
      </c>
      <c r="F49" s="1"/>
      <c r="G49" s="1"/>
      <c r="H49" s="12"/>
      <c r="I49" s="6"/>
    </row>
    <row r="50" spans="1:9">
      <c r="A50" s="1" t="s">
        <v>12</v>
      </c>
      <c r="B50" s="5">
        <f>5/5</f>
        <v>1</v>
      </c>
      <c r="C50" s="5">
        <f>2/4</f>
        <v>0.5</v>
      </c>
      <c r="D50" s="5">
        <f>6/6</f>
        <v>1</v>
      </c>
      <c r="E50" s="5">
        <f>5/5</f>
        <v>1</v>
      </c>
      <c r="F50" s="5">
        <f>0/6</f>
        <v>0</v>
      </c>
      <c r="G50" s="1"/>
      <c r="H50" s="12"/>
      <c r="I50" s="6"/>
    </row>
    <row r="51" spans="1:9">
      <c r="A51" s="1" t="s">
        <v>13</v>
      </c>
      <c r="B51" s="5">
        <f>25/25</f>
        <v>1</v>
      </c>
      <c r="C51" s="5">
        <f>6/6</f>
        <v>1</v>
      </c>
      <c r="D51" s="5">
        <f>12/12</f>
        <v>1</v>
      </c>
      <c r="E51" s="5">
        <f>20/20</f>
        <v>1</v>
      </c>
      <c r="F51" s="5">
        <f>6/6</f>
        <v>1</v>
      </c>
      <c r="G51" s="1"/>
      <c r="H51" s="12"/>
      <c r="I51" s="6"/>
    </row>
    <row r="52" spans="1:9">
      <c r="A52" s="4" t="s">
        <v>72</v>
      </c>
      <c r="B52" s="4">
        <v>2</v>
      </c>
      <c r="C52" s="4"/>
      <c r="D52" s="4" t="s">
        <v>28</v>
      </c>
      <c r="E52" s="4">
        <v>2</v>
      </c>
      <c r="F52" s="8">
        <v>2</v>
      </c>
      <c r="G52" s="4"/>
    </row>
    <row r="53" spans="1:9">
      <c r="A53" s="1" t="s">
        <v>10</v>
      </c>
      <c r="B53" s="5">
        <f>2/2</f>
        <v>1</v>
      </c>
      <c r="C53" s="5"/>
      <c r="D53" s="5"/>
      <c r="E53" s="5">
        <f>0/1</f>
        <v>0</v>
      </c>
      <c r="F53" s="5">
        <f>2/2</f>
        <v>1</v>
      </c>
      <c r="G53" s="1"/>
    </row>
    <row r="54" spans="1:9">
      <c r="A54" s="1" t="s">
        <v>11</v>
      </c>
      <c r="B54" s="5">
        <f>12/12</f>
        <v>1</v>
      </c>
      <c r="C54" s="5"/>
      <c r="D54" s="5"/>
      <c r="E54" s="5">
        <f>3/6</f>
        <v>0.5</v>
      </c>
      <c r="F54" s="1"/>
      <c r="G54" s="1"/>
    </row>
    <row r="55" spans="1:9">
      <c r="A55" s="1" t="s">
        <v>12</v>
      </c>
      <c r="B55" s="5">
        <f>2/2</f>
        <v>1</v>
      </c>
      <c r="C55" s="5"/>
      <c r="D55" s="5"/>
      <c r="E55" s="5">
        <f>2/2</f>
        <v>1</v>
      </c>
      <c r="F55" s="5">
        <f>2/4</f>
        <v>0.5</v>
      </c>
      <c r="G55" s="1"/>
    </row>
    <row r="56" spans="1:9">
      <c r="A56" s="1" t="s">
        <v>13</v>
      </c>
      <c r="B56" s="5">
        <f>10/10</f>
        <v>1</v>
      </c>
      <c r="C56" s="5"/>
      <c r="D56" s="5"/>
      <c r="E56" s="5">
        <f>4/8</f>
        <v>0.5</v>
      </c>
      <c r="F56" s="5">
        <f>4/4</f>
        <v>1</v>
      </c>
      <c r="G56" s="1"/>
    </row>
  </sheetData>
  <conditionalFormatting sqref="B53:D56">
    <cfRule type="cellIs" dxfId="131" priority="56" operator="between">
      <formula>0</formula>
      <formula>0.7</formula>
    </cfRule>
    <cfRule type="containsBlanks" dxfId="130" priority="53">
      <formula>LEN(TRIM(B53))=0</formula>
    </cfRule>
    <cfRule type="cellIs" dxfId="129" priority="55" operator="greaterThanOrEqual">
      <formula>0.7</formula>
    </cfRule>
    <cfRule type="cellIs" dxfId="128" priority="54" operator="greaterThanOrEqual">
      <formula>0.95</formula>
    </cfRule>
  </conditionalFormatting>
  <conditionalFormatting sqref="B48:E51">
    <cfRule type="containsBlanks" dxfId="127" priority="25">
      <formula>LEN(TRIM(B48))=0</formula>
    </cfRule>
    <cfRule type="cellIs" dxfId="126" priority="26" operator="greaterThanOrEqual">
      <formula>0.95</formula>
    </cfRule>
    <cfRule type="cellIs" dxfId="125" priority="27" operator="greaterThanOrEqual">
      <formula>0.7</formula>
    </cfRule>
    <cfRule type="cellIs" dxfId="124" priority="28" operator="between">
      <formula>0</formula>
      <formula>0.7</formula>
    </cfRule>
  </conditionalFormatting>
  <conditionalFormatting sqref="B3:H6">
    <cfRule type="containsBlanks" dxfId="123" priority="17">
      <formula>LEN(TRIM(B3))=0</formula>
    </cfRule>
    <cfRule type="cellIs" dxfId="122" priority="18" operator="greaterThanOrEqual">
      <formula>0.95</formula>
    </cfRule>
    <cfRule type="cellIs" dxfId="121" priority="19" operator="greaterThanOrEqual">
      <formula>0.7</formula>
    </cfRule>
    <cfRule type="cellIs" dxfId="120" priority="20" operator="between">
      <formula>0</formula>
      <formula>0.7</formula>
    </cfRule>
  </conditionalFormatting>
  <conditionalFormatting sqref="B8:H11">
    <cfRule type="cellIs" dxfId="119" priority="40" operator="between">
      <formula>0</formula>
      <formula>0.7</formula>
    </cfRule>
    <cfRule type="cellIs" dxfId="118" priority="39" operator="greaterThanOrEqual">
      <formula>0.7</formula>
    </cfRule>
    <cfRule type="cellIs" dxfId="117" priority="38" operator="greaterThanOrEqual">
      <formula>0.95</formula>
    </cfRule>
    <cfRule type="containsBlanks" dxfId="116" priority="37">
      <formula>LEN(TRIM(B8))=0</formula>
    </cfRule>
  </conditionalFormatting>
  <conditionalFormatting sqref="B13:H16">
    <cfRule type="containsBlanks" dxfId="115" priority="49">
      <formula>LEN(TRIM(B13))=0</formula>
    </cfRule>
    <cfRule type="cellIs" dxfId="114" priority="50" operator="greaterThanOrEqual">
      <formula>0.95</formula>
    </cfRule>
    <cfRule type="cellIs" dxfId="113" priority="51" operator="greaterThanOrEqual">
      <formula>0.7</formula>
    </cfRule>
    <cfRule type="cellIs" dxfId="112" priority="52" operator="between">
      <formula>0</formula>
      <formula>0.7</formula>
    </cfRule>
  </conditionalFormatting>
  <conditionalFormatting sqref="B18:H21">
    <cfRule type="cellIs" dxfId="111" priority="46" operator="greaterThanOrEqual">
      <formula>0.95</formula>
    </cfRule>
    <cfRule type="containsBlanks" dxfId="110" priority="45">
      <formula>LEN(TRIM(B18))=0</formula>
    </cfRule>
    <cfRule type="cellIs" dxfId="109" priority="47" operator="greaterThanOrEqual">
      <formula>0.7</formula>
    </cfRule>
    <cfRule type="cellIs" dxfId="108" priority="48" operator="between">
      <formula>0</formula>
      <formula>0.7</formula>
    </cfRule>
  </conditionalFormatting>
  <conditionalFormatting sqref="B23:H26">
    <cfRule type="cellIs" dxfId="107" priority="44" operator="between">
      <formula>0</formula>
      <formula>0.7</formula>
    </cfRule>
    <cfRule type="cellIs" dxfId="106" priority="43" operator="greaterThanOrEqual">
      <formula>0.7</formula>
    </cfRule>
    <cfRule type="cellIs" dxfId="105" priority="42" operator="greaterThanOrEqual">
      <formula>0.95</formula>
    </cfRule>
    <cfRule type="containsBlanks" dxfId="104" priority="41">
      <formula>LEN(TRIM(B23))=0</formula>
    </cfRule>
  </conditionalFormatting>
  <conditionalFormatting sqref="B28:H31">
    <cfRule type="cellIs" dxfId="103" priority="14" operator="greaterThanOrEqual">
      <formula>0.95</formula>
    </cfRule>
    <cfRule type="cellIs" dxfId="102" priority="15" operator="greaterThanOrEqual">
      <formula>0.7</formula>
    </cfRule>
    <cfRule type="cellIs" dxfId="101" priority="16" operator="between">
      <formula>0</formula>
      <formula>0.7</formula>
    </cfRule>
    <cfRule type="containsBlanks" dxfId="100" priority="13">
      <formula>LEN(TRIM(B28))=0</formula>
    </cfRule>
  </conditionalFormatting>
  <conditionalFormatting sqref="B33:H36">
    <cfRule type="cellIs" dxfId="99" priority="31" operator="greaterThanOrEqual">
      <formula>0.7</formula>
    </cfRule>
    <cfRule type="containsBlanks" dxfId="98" priority="29">
      <formula>LEN(TRIM(B33))=0</formula>
    </cfRule>
    <cfRule type="cellIs" dxfId="97" priority="30" operator="greaterThanOrEqual">
      <formula>0.95</formula>
    </cfRule>
    <cfRule type="cellIs" dxfId="96" priority="32" operator="between">
      <formula>0</formula>
      <formula>0.7</formula>
    </cfRule>
  </conditionalFormatting>
  <conditionalFormatting sqref="B38:H41">
    <cfRule type="containsBlanks" dxfId="95" priority="33">
      <formula>LEN(TRIM(B38))=0</formula>
    </cfRule>
    <cfRule type="cellIs" dxfId="94" priority="34" operator="greaterThanOrEqual">
      <formula>0.95</formula>
    </cfRule>
    <cfRule type="cellIs" dxfId="93" priority="35" operator="greaterThanOrEqual">
      <formula>0.7</formula>
    </cfRule>
    <cfRule type="cellIs" dxfId="92" priority="36" operator="between">
      <formula>0</formula>
      <formula>0.7</formula>
    </cfRule>
  </conditionalFormatting>
  <conditionalFormatting sqref="B43:H46">
    <cfRule type="cellIs" dxfId="91" priority="23" operator="greaterThanOrEqual">
      <formula>0.7</formula>
    </cfRule>
    <cfRule type="cellIs" dxfId="90" priority="24" operator="between">
      <formula>0</formula>
      <formula>0.7</formula>
    </cfRule>
    <cfRule type="containsBlanks" dxfId="89" priority="21">
      <formula>LEN(TRIM(B43))=0</formula>
    </cfRule>
    <cfRule type="cellIs" dxfId="88" priority="22" operator="greaterThanOrEqual">
      <formula>0.95</formula>
    </cfRule>
  </conditionalFormatting>
  <conditionalFormatting sqref="E54:E56">
    <cfRule type="cellIs" dxfId="87" priority="4" operator="between">
      <formula>0</formula>
      <formula>0.7</formula>
    </cfRule>
    <cfRule type="cellIs" dxfId="86" priority="3" operator="greaterThanOrEqual">
      <formula>0.7</formula>
    </cfRule>
    <cfRule type="cellIs" dxfId="85" priority="2" operator="greaterThanOrEqual">
      <formula>0.95</formula>
    </cfRule>
    <cfRule type="containsBlanks" dxfId="84" priority="1">
      <formula>LEN(TRIM(E54))=0</formula>
    </cfRule>
  </conditionalFormatting>
  <conditionalFormatting sqref="E53:F53">
    <cfRule type="cellIs" dxfId="83" priority="8" operator="between">
      <formula>0</formula>
      <formula>0.7</formula>
    </cfRule>
    <cfRule type="cellIs" dxfId="82" priority="7" operator="greaterThanOrEqual">
      <formula>0.7</formula>
    </cfRule>
    <cfRule type="cellIs" dxfId="81" priority="6" operator="greaterThanOrEqual">
      <formula>0.95</formula>
    </cfRule>
    <cfRule type="containsBlanks" dxfId="80" priority="5">
      <formula>LEN(TRIM(E53))=0</formula>
    </cfRule>
  </conditionalFormatting>
  <conditionalFormatting sqref="F48">
    <cfRule type="cellIs" dxfId="79" priority="136" operator="between">
      <formula>0</formula>
      <formula>0.7</formula>
    </cfRule>
    <cfRule type="containsBlanks" dxfId="78" priority="133">
      <formula>LEN(TRIM(F48))=0</formula>
    </cfRule>
    <cfRule type="cellIs" dxfId="77" priority="134" operator="greaterThanOrEqual">
      <formula>0.95</formula>
    </cfRule>
    <cfRule type="cellIs" dxfId="76" priority="135" operator="greaterThanOrEqual">
      <formula>0.7</formula>
    </cfRule>
  </conditionalFormatting>
  <conditionalFormatting sqref="F50:F51">
    <cfRule type="containsBlanks" dxfId="75" priority="129">
      <formula>LEN(TRIM(F50))=0</formula>
    </cfRule>
    <cfRule type="cellIs" dxfId="74" priority="130" operator="greaterThanOrEqual">
      <formula>0.95</formula>
    </cfRule>
    <cfRule type="cellIs" dxfId="73" priority="131" operator="greaterThanOrEqual">
      <formula>0.7</formula>
    </cfRule>
    <cfRule type="cellIs" dxfId="72" priority="132" operator="between">
      <formula>0</formula>
      <formula>0.7</formula>
    </cfRule>
  </conditionalFormatting>
  <conditionalFormatting sqref="F55:F56">
    <cfRule type="containsBlanks" dxfId="71" priority="65">
      <formula>LEN(TRIM(F55))=0</formula>
    </cfRule>
    <cfRule type="cellIs" dxfId="70" priority="66" operator="greaterThanOrEqual">
      <formula>0.95</formula>
    </cfRule>
    <cfRule type="cellIs" dxfId="69" priority="67" operator="greaterThanOrEqual">
      <formula>0.7</formula>
    </cfRule>
    <cfRule type="cellIs" dxfId="68" priority="68" operator="between">
      <formula>0</formula>
      <formula>0.7</formula>
    </cfRule>
  </conditionalFormatting>
  <conditionalFormatting sqref="H48:H51">
    <cfRule type="containsBlanks" dxfId="67" priority="125">
      <formula>LEN(TRIM(H48))=0</formula>
    </cfRule>
    <cfRule type="cellIs" dxfId="66" priority="126" operator="greaterThanOrEqual">
      <formula>0.95</formula>
    </cfRule>
    <cfRule type="cellIs" dxfId="65" priority="127" operator="greaterThanOrEqual">
      <formula>0.7</formula>
    </cfRule>
    <cfRule type="cellIs" dxfId="64" priority="128" operator="between">
      <formula>0</formula>
      <formula>0.7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51"/>
  <sheetViews>
    <sheetView tabSelected="1" zoomScaleNormal="100" workbookViewId="0">
      <pane ySplit="1" topLeftCell="A2" activePane="bottomLeft" state="frozen"/>
      <selection pane="bottomLeft" activeCell="C20" sqref="C20"/>
    </sheetView>
  </sheetViews>
  <sheetFormatPr defaultColWidth="8.75" defaultRowHeight="10.15"/>
  <cols>
    <col min="1" max="1" width="14.875" style="2" bestFit="1" customWidth="1"/>
    <col min="2" max="2" width="5.625" style="2" bestFit="1" customWidth="1"/>
    <col min="3" max="4" width="6.125" style="2" bestFit="1" customWidth="1"/>
    <col min="5" max="5" width="5.75" style="2" bestFit="1" customWidth="1"/>
    <col min="6" max="6" width="9.25" style="2" bestFit="1" customWidth="1"/>
    <col min="7" max="7" width="7" style="2" bestFit="1" customWidth="1"/>
    <col min="8" max="8" width="6.125" style="2" customWidth="1"/>
    <col min="9" max="9" width="23.625" style="2" bestFit="1" customWidth="1"/>
    <col min="10" max="16384" width="8.75" style="2"/>
  </cols>
  <sheetData>
    <row r="1" spans="1:9" ht="40.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1"/>
      <c r="I1" s="6" t="s">
        <v>7</v>
      </c>
    </row>
    <row r="2" spans="1:9">
      <c r="A2" s="4" t="s">
        <v>8</v>
      </c>
      <c r="B2" s="4">
        <v>7</v>
      </c>
      <c r="C2" s="4">
        <v>7</v>
      </c>
      <c r="D2" s="4">
        <v>7</v>
      </c>
      <c r="E2" s="4">
        <v>1</v>
      </c>
      <c r="F2" s="4" t="s">
        <v>38</v>
      </c>
      <c r="G2" s="4" t="s">
        <v>68</v>
      </c>
      <c r="H2" s="13"/>
      <c r="I2" s="6"/>
    </row>
    <row r="3" spans="1:9">
      <c r="A3" s="1" t="s">
        <v>10</v>
      </c>
      <c r="B3" s="5">
        <f>7/7</f>
        <v>1</v>
      </c>
      <c r="C3" s="5">
        <f>7/7</f>
        <v>1</v>
      </c>
      <c r="D3" s="5">
        <f>7/7</f>
        <v>1</v>
      </c>
      <c r="E3" s="5">
        <f>1/1</f>
        <v>1</v>
      </c>
      <c r="F3" s="14">
        <f>1/1</f>
        <v>1</v>
      </c>
      <c r="G3" s="5"/>
      <c r="H3" s="12"/>
      <c r="I3" s="6"/>
    </row>
    <row r="4" spans="1:9">
      <c r="A4" s="1" t="s">
        <v>11</v>
      </c>
      <c r="B4" s="5">
        <f>42/42</f>
        <v>1</v>
      </c>
      <c r="C4" s="5">
        <f>28/28</f>
        <v>1</v>
      </c>
      <c r="D4" s="5">
        <f>42/42</f>
        <v>1</v>
      </c>
      <c r="E4" s="5">
        <f>6/6</f>
        <v>1</v>
      </c>
      <c r="F4" s="5"/>
      <c r="G4" s="5"/>
      <c r="H4" s="12"/>
      <c r="I4" s="6"/>
    </row>
    <row r="5" spans="1:9">
      <c r="A5" s="1" t="s">
        <v>12</v>
      </c>
      <c r="B5" s="5">
        <f>7/7</f>
        <v>1</v>
      </c>
      <c r="C5" s="9">
        <f>7/14</f>
        <v>0.5</v>
      </c>
      <c r="D5" s="5">
        <f>7/14</f>
        <v>0.5</v>
      </c>
      <c r="E5" s="5">
        <f>1/1</f>
        <v>1</v>
      </c>
      <c r="F5" s="5">
        <f>2/2</f>
        <v>1</v>
      </c>
      <c r="G5" s="5"/>
      <c r="H5" s="12"/>
      <c r="I5" s="6"/>
    </row>
    <row r="6" spans="1:9">
      <c r="A6" s="1" t="s">
        <v>13</v>
      </c>
      <c r="B6" s="5">
        <f>35/35</f>
        <v>1</v>
      </c>
      <c r="C6" s="5">
        <f>21/21</f>
        <v>1</v>
      </c>
      <c r="D6" s="5">
        <f>28/28</f>
        <v>1</v>
      </c>
      <c r="E6" s="5">
        <f>4/4</f>
        <v>1</v>
      </c>
      <c r="F6" s="5">
        <f>2/2</f>
        <v>1</v>
      </c>
      <c r="G6" s="5"/>
      <c r="H6" s="12"/>
      <c r="I6" s="6"/>
    </row>
    <row r="7" spans="1:9">
      <c r="A7" s="4" t="s">
        <v>33</v>
      </c>
      <c r="B7" s="4">
        <v>10</v>
      </c>
      <c r="C7" s="4" t="s">
        <v>57</v>
      </c>
      <c r="D7" s="4" t="s">
        <v>42</v>
      </c>
      <c r="E7" s="4">
        <v>13</v>
      </c>
      <c r="F7" s="4" t="s">
        <v>59</v>
      </c>
      <c r="G7" s="4" t="s">
        <v>28</v>
      </c>
      <c r="I7" s="6"/>
    </row>
    <row r="8" spans="1:9">
      <c r="A8" s="1" t="s">
        <v>10</v>
      </c>
      <c r="B8" s="5">
        <f>10/10</f>
        <v>1</v>
      </c>
      <c r="C8" s="5">
        <f>12/13</f>
        <v>0.92307692307692313</v>
      </c>
      <c r="D8" s="5">
        <f>12/12</f>
        <v>1</v>
      </c>
      <c r="E8" s="5">
        <f>13/13</f>
        <v>1</v>
      </c>
      <c r="F8" s="5">
        <f>8/8</f>
        <v>1</v>
      </c>
      <c r="G8" s="5"/>
      <c r="H8" s="12"/>
      <c r="I8" s="6"/>
    </row>
    <row r="9" spans="1:9">
      <c r="A9" s="1" t="s">
        <v>11</v>
      </c>
      <c r="B9" s="5">
        <f>60/60</f>
        <v>1</v>
      </c>
      <c r="C9" s="5">
        <f>52/52</f>
        <v>1</v>
      </c>
      <c r="D9" s="5">
        <f>72/72</f>
        <v>1</v>
      </c>
      <c r="E9" s="5">
        <f>78/78</f>
        <v>1</v>
      </c>
      <c r="F9" s="5"/>
      <c r="G9" s="5"/>
      <c r="H9" s="12"/>
      <c r="I9" s="6"/>
    </row>
    <row r="10" spans="1:9">
      <c r="A10" s="1" t="s">
        <v>12</v>
      </c>
      <c r="B10" s="5">
        <f>10/10</f>
        <v>1</v>
      </c>
      <c r="C10" s="7">
        <f>13/26</f>
        <v>0.5</v>
      </c>
      <c r="D10" s="5">
        <f>12/24</f>
        <v>0.5</v>
      </c>
      <c r="E10" s="5">
        <f>13/13</f>
        <v>1</v>
      </c>
      <c r="F10" s="5">
        <f>9/16</f>
        <v>0.5625</v>
      </c>
      <c r="G10" s="5"/>
      <c r="H10" s="12"/>
      <c r="I10" s="6"/>
    </row>
    <row r="11" spans="1:9">
      <c r="A11" s="1" t="s">
        <v>13</v>
      </c>
      <c r="B11" s="5">
        <f>50/50</f>
        <v>1</v>
      </c>
      <c r="C11" s="5">
        <f>39/39</f>
        <v>1</v>
      </c>
      <c r="D11" s="5">
        <f>48/48</f>
        <v>1</v>
      </c>
      <c r="E11" s="5">
        <f>52/52</f>
        <v>1</v>
      </c>
      <c r="F11" s="5">
        <f>16/16</f>
        <v>1</v>
      </c>
      <c r="G11" s="5"/>
      <c r="H11" s="12"/>
      <c r="I11" s="6"/>
    </row>
    <row r="12" spans="1:9">
      <c r="A12" s="4" t="s">
        <v>17</v>
      </c>
      <c r="B12" s="4">
        <v>6</v>
      </c>
      <c r="C12" s="10" t="s">
        <v>18</v>
      </c>
      <c r="D12" s="4">
        <v>7</v>
      </c>
      <c r="E12" s="4">
        <v>6</v>
      </c>
      <c r="F12" s="4" t="s">
        <v>61</v>
      </c>
      <c r="G12" s="4">
        <v>0</v>
      </c>
      <c r="H12" s="13"/>
      <c r="I12" s="6"/>
    </row>
    <row r="13" spans="1:9">
      <c r="A13" s="1" t="s">
        <v>10</v>
      </c>
      <c r="B13" s="5">
        <f>6/6</f>
        <v>1</v>
      </c>
      <c r="C13" s="5">
        <f>5/5</f>
        <v>1</v>
      </c>
      <c r="D13" s="5">
        <f>7/7</f>
        <v>1</v>
      </c>
      <c r="E13" s="5">
        <f>6/6</f>
        <v>1</v>
      </c>
      <c r="F13" s="5">
        <f>2/2</f>
        <v>1</v>
      </c>
      <c r="G13" s="5"/>
      <c r="H13" s="12"/>
      <c r="I13" s="6"/>
    </row>
    <row r="14" spans="1:9">
      <c r="A14" s="1" t="s">
        <v>11</v>
      </c>
      <c r="B14" s="5">
        <f>36/36</f>
        <v>1</v>
      </c>
      <c r="C14" s="5">
        <f>20/20</f>
        <v>1</v>
      </c>
      <c r="D14" s="5">
        <f>42/42</f>
        <v>1</v>
      </c>
      <c r="E14" s="5">
        <f>36/36</f>
        <v>1</v>
      </c>
      <c r="F14" s="5"/>
      <c r="G14" s="5"/>
      <c r="H14" s="12"/>
      <c r="I14" s="6"/>
    </row>
    <row r="15" spans="1:9">
      <c r="A15" s="1" t="s">
        <v>12</v>
      </c>
      <c r="B15" s="5">
        <f>6/6</f>
        <v>1</v>
      </c>
      <c r="C15" s="5">
        <f>5/10</f>
        <v>0.5</v>
      </c>
      <c r="D15" s="5">
        <f>7/14</f>
        <v>0.5</v>
      </c>
      <c r="E15" s="5">
        <f>6/6</f>
        <v>1</v>
      </c>
      <c r="F15" s="5">
        <f>3/4</f>
        <v>0.75</v>
      </c>
      <c r="G15" s="5"/>
      <c r="H15" s="12"/>
      <c r="I15" s="6"/>
    </row>
    <row r="16" spans="1:9">
      <c r="A16" s="1" t="s">
        <v>13</v>
      </c>
      <c r="B16" s="5">
        <f>30/30</f>
        <v>1</v>
      </c>
      <c r="C16" s="5">
        <f>15/15</f>
        <v>1</v>
      </c>
      <c r="D16" s="5">
        <f>28/28</f>
        <v>1</v>
      </c>
      <c r="E16" s="5">
        <f>24/24</f>
        <v>1</v>
      </c>
      <c r="F16" s="5">
        <f>4/4</f>
        <v>1</v>
      </c>
      <c r="G16" s="5"/>
      <c r="H16" s="12"/>
      <c r="I16" s="6"/>
    </row>
    <row r="17" spans="1:9">
      <c r="A17" s="4" t="s">
        <v>73</v>
      </c>
      <c r="B17" s="4">
        <v>7</v>
      </c>
      <c r="C17" s="10" t="s">
        <v>40</v>
      </c>
      <c r="D17" s="4">
        <v>9</v>
      </c>
      <c r="E17" s="4">
        <v>5</v>
      </c>
      <c r="F17" s="4" t="s">
        <v>61</v>
      </c>
      <c r="G17" s="4">
        <v>0</v>
      </c>
      <c r="H17" s="13"/>
      <c r="I17" s="6"/>
    </row>
    <row r="18" spans="1:9">
      <c r="A18" s="1" t="s">
        <v>10</v>
      </c>
      <c r="B18" s="5">
        <f>10/10</f>
        <v>1</v>
      </c>
      <c r="C18" s="5">
        <f>6/6</f>
        <v>1</v>
      </c>
      <c r="D18" s="5">
        <f>9/9</f>
        <v>1</v>
      </c>
      <c r="E18" s="5">
        <f>5/5</f>
        <v>1</v>
      </c>
      <c r="F18" s="5">
        <f>2/2</f>
        <v>1</v>
      </c>
      <c r="G18" s="5"/>
      <c r="H18" s="12"/>
      <c r="I18" s="6"/>
    </row>
    <row r="19" spans="1:9">
      <c r="A19" s="1" t="s">
        <v>11</v>
      </c>
      <c r="B19" s="5">
        <f>42/42</f>
        <v>1</v>
      </c>
      <c r="C19" s="5">
        <f>24/24</f>
        <v>1</v>
      </c>
      <c r="D19" s="5">
        <f>54/54</f>
        <v>1</v>
      </c>
      <c r="E19" s="5">
        <f>30/30</f>
        <v>1</v>
      </c>
      <c r="F19" s="5"/>
      <c r="G19" s="5"/>
      <c r="H19" s="12"/>
      <c r="I19" s="6"/>
    </row>
    <row r="20" spans="1:9">
      <c r="A20" s="1" t="s">
        <v>12</v>
      </c>
      <c r="B20" s="5">
        <f>7/7</f>
        <v>1</v>
      </c>
      <c r="C20" s="5">
        <f>6/12</f>
        <v>0.5</v>
      </c>
      <c r="D20" s="5">
        <f>9/18</f>
        <v>0.5</v>
      </c>
      <c r="E20" s="5">
        <f>5/5</f>
        <v>1</v>
      </c>
      <c r="F20" s="5">
        <f>2/4</f>
        <v>0.5</v>
      </c>
      <c r="G20" s="5"/>
      <c r="H20" s="12"/>
      <c r="I20" s="6"/>
    </row>
    <row r="21" spans="1:9">
      <c r="A21" s="1" t="s">
        <v>13</v>
      </c>
      <c r="B21" s="5">
        <f>35/35</f>
        <v>1</v>
      </c>
      <c r="C21" s="5">
        <f>18/18</f>
        <v>1</v>
      </c>
      <c r="D21" s="5">
        <f>36/36</f>
        <v>1</v>
      </c>
      <c r="E21" s="5">
        <f>20/20</f>
        <v>1</v>
      </c>
      <c r="F21" s="5">
        <f>4/4</f>
        <v>1</v>
      </c>
      <c r="G21" s="5"/>
      <c r="H21" s="12"/>
      <c r="I21" s="6"/>
    </row>
    <row r="22" spans="1:9">
      <c r="A22" s="4" t="s">
        <v>26</v>
      </c>
      <c r="B22" s="4">
        <v>4</v>
      </c>
      <c r="C22" s="4">
        <v>4</v>
      </c>
      <c r="D22" s="4">
        <v>4</v>
      </c>
      <c r="E22" s="4">
        <v>3</v>
      </c>
      <c r="F22" s="4">
        <v>4</v>
      </c>
      <c r="G22" s="4" t="s">
        <v>28</v>
      </c>
      <c r="I22" s="6"/>
    </row>
    <row r="23" spans="1:9">
      <c r="A23" s="1" t="s">
        <v>10</v>
      </c>
      <c r="B23" s="5">
        <f>4/4</f>
        <v>1</v>
      </c>
      <c r="C23" s="5">
        <f>4/4</f>
        <v>1</v>
      </c>
      <c r="D23" s="5">
        <f>4/4</f>
        <v>1</v>
      </c>
      <c r="E23" s="5">
        <f>3/3</f>
        <v>1</v>
      </c>
      <c r="F23" s="5">
        <f>4/4</f>
        <v>1</v>
      </c>
      <c r="G23" s="5"/>
      <c r="H23" s="12"/>
      <c r="I23" s="6"/>
    </row>
    <row r="24" spans="1:9">
      <c r="A24" s="1" t="s">
        <v>11</v>
      </c>
      <c r="B24" s="5">
        <f>24/24</f>
        <v>1</v>
      </c>
      <c r="C24" s="5">
        <f>16/16</f>
        <v>1</v>
      </c>
      <c r="D24" s="5">
        <f>24/24</f>
        <v>1</v>
      </c>
      <c r="E24" s="5">
        <f>14/18</f>
        <v>0.77777777777777779</v>
      </c>
      <c r="F24" s="5"/>
      <c r="G24" s="5"/>
      <c r="H24" s="12"/>
      <c r="I24" s="6"/>
    </row>
    <row r="25" spans="1:9">
      <c r="A25" s="1" t="s">
        <v>12</v>
      </c>
      <c r="B25" s="5">
        <f>4/4</f>
        <v>1</v>
      </c>
      <c r="C25" s="5">
        <f>4/8</f>
        <v>0.5</v>
      </c>
      <c r="D25" s="5">
        <f>4/8</f>
        <v>0.5</v>
      </c>
      <c r="E25" s="5">
        <f>3/3</f>
        <v>1</v>
      </c>
      <c r="F25" s="5">
        <f>5/8</f>
        <v>0.625</v>
      </c>
      <c r="G25" s="5"/>
      <c r="H25" s="12"/>
      <c r="I25" s="6"/>
    </row>
    <row r="26" spans="1:9">
      <c r="A26" s="1" t="s">
        <v>13</v>
      </c>
      <c r="B26" s="5">
        <f>20/20</f>
        <v>1</v>
      </c>
      <c r="C26" s="5">
        <f>12/12</f>
        <v>1</v>
      </c>
      <c r="D26" s="5">
        <f>16/16</f>
        <v>1</v>
      </c>
      <c r="E26" s="5">
        <f>12/12</f>
        <v>1</v>
      </c>
      <c r="F26" s="5">
        <f>8/8</f>
        <v>1</v>
      </c>
      <c r="G26" s="5"/>
      <c r="H26" s="12"/>
      <c r="I26" s="6"/>
    </row>
    <row r="27" spans="1:9">
      <c r="A27" s="4" t="s">
        <v>74</v>
      </c>
      <c r="B27" s="4">
        <v>4</v>
      </c>
      <c r="C27" s="4">
        <v>4</v>
      </c>
      <c r="D27" s="4">
        <v>4</v>
      </c>
      <c r="E27" s="4" t="s">
        <v>75</v>
      </c>
      <c r="F27" s="4">
        <v>0</v>
      </c>
      <c r="G27" s="4">
        <v>0</v>
      </c>
      <c r="I27" s="6"/>
    </row>
    <row r="28" spans="1:9">
      <c r="A28" s="1" t="s">
        <v>10</v>
      </c>
      <c r="B28" s="5">
        <f>4/4</f>
        <v>1</v>
      </c>
      <c r="C28" s="5">
        <f>4/4</f>
        <v>1</v>
      </c>
      <c r="D28" s="5">
        <f>1/4</f>
        <v>0.25</v>
      </c>
      <c r="E28" s="5">
        <f>1/1</f>
        <v>1</v>
      </c>
      <c r="F28" s="5"/>
      <c r="G28" s="5"/>
      <c r="H28" s="12"/>
      <c r="I28" s="6"/>
    </row>
    <row r="29" spans="1:9">
      <c r="A29" s="1" t="s">
        <v>11</v>
      </c>
      <c r="B29" s="5">
        <f>24/24</f>
        <v>1</v>
      </c>
      <c r="C29" s="5">
        <f>16/16</f>
        <v>1</v>
      </c>
      <c r="D29" s="5">
        <f>24/24</f>
        <v>1</v>
      </c>
      <c r="E29" s="5">
        <f>6/6</f>
        <v>1</v>
      </c>
      <c r="F29" s="5"/>
      <c r="G29" s="5"/>
      <c r="H29" s="12"/>
      <c r="I29" s="6"/>
    </row>
    <row r="30" spans="1:9">
      <c r="A30" s="1" t="s">
        <v>12</v>
      </c>
      <c r="B30" s="5">
        <f>4/4</f>
        <v>1</v>
      </c>
      <c r="C30" s="5">
        <f>4/8</f>
        <v>0.5</v>
      </c>
      <c r="D30" s="5">
        <f>7/8</f>
        <v>0.875</v>
      </c>
      <c r="E30" s="5">
        <f>1/1</f>
        <v>1</v>
      </c>
      <c r="F30" s="5"/>
      <c r="G30" s="5"/>
      <c r="H30" s="12"/>
      <c r="I30" s="6"/>
    </row>
    <row r="31" spans="1:9">
      <c r="A31" s="1" t="s">
        <v>13</v>
      </c>
      <c r="B31" s="5">
        <f>20/20</f>
        <v>1</v>
      </c>
      <c r="C31" s="5">
        <f>12/12</f>
        <v>1</v>
      </c>
      <c r="D31" s="5">
        <f>16/16</f>
        <v>1</v>
      </c>
      <c r="E31" s="5">
        <f>3/4</f>
        <v>0.75</v>
      </c>
      <c r="F31" s="5"/>
      <c r="G31" s="5"/>
      <c r="H31" s="12"/>
      <c r="I31" s="6"/>
    </row>
    <row r="32" spans="1:9">
      <c r="A32" s="4" t="s">
        <v>76</v>
      </c>
      <c r="B32" s="4">
        <v>6</v>
      </c>
      <c r="C32" s="4">
        <v>6</v>
      </c>
      <c r="D32" s="4">
        <v>5</v>
      </c>
      <c r="E32" s="4">
        <v>6</v>
      </c>
      <c r="F32" s="4">
        <v>3</v>
      </c>
      <c r="G32" s="4" t="s">
        <v>77</v>
      </c>
      <c r="I32" s="6"/>
    </row>
    <row r="33" spans="1:9">
      <c r="A33" s="1" t="s">
        <v>10</v>
      </c>
      <c r="B33" s="5">
        <f>6/6</f>
        <v>1</v>
      </c>
      <c r="C33" s="5">
        <f>6/6</f>
        <v>1</v>
      </c>
      <c r="D33" s="5">
        <f>5/5</f>
        <v>1</v>
      </c>
      <c r="E33" s="5">
        <f>6/6</f>
        <v>1</v>
      </c>
      <c r="F33" s="5">
        <f>3/3</f>
        <v>1</v>
      </c>
      <c r="G33" s="5">
        <f>1/1</f>
        <v>1</v>
      </c>
      <c r="H33" s="12"/>
      <c r="I33" s="6"/>
    </row>
    <row r="34" spans="1:9">
      <c r="A34" s="1" t="s">
        <v>11</v>
      </c>
      <c r="B34" s="5">
        <f>36/36</f>
        <v>1</v>
      </c>
      <c r="C34" s="5">
        <f>6/24</f>
        <v>0.25</v>
      </c>
      <c r="D34" s="5">
        <f>8/30</f>
        <v>0.26666666666666666</v>
      </c>
      <c r="E34" s="5">
        <f>36/36</f>
        <v>1</v>
      </c>
      <c r="F34" s="5"/>
      <c r="G34" s="5">
        <f>1/6</f>
        <v>0.16666666666666666</v>
      </c>
      <c r="H34" s="12"/>
      <c r="I34" s="6"/>
    </row>
    <row r="35" spans="1:9">
      <c r="A35" s="1" t="s">
        <v>12</v>
      </c>
      <c r="B35" s="5">
        <f>6/6</f>
        <v>1</v>
      </c>
      <c r="C35" s="5">
        <f>6/12</f>
        <v>0.5</v>
      </c>
      <c r="D35" s="5">
        <f>8/10</f>
        <v>0.8</v>
      </c>
      <c r="E35" s="5">
        <f>6/6</f>
        <v>1</v>
      </c>
      <c r="F35" s="5">
        <f>3/6</f>
        <v>0.5</v>
      </c>
      <c r="G35" s="5">
        <f>1/1</f>
        <v>1</v>
      </c>
      <c r="H35" s="12"/>
      <c r="I35" s="6"/>
    </row>
    <row r="36" spans="1:9">
      <c r="A36" s="1" t="s">
        <v>13</v>
      </c>
      <c r="B36" s="5">
        <f>30/30</f>
        <v>1</v>
      </c>
      <c r="C36" s="5">
        <f>18/18</f>
        <v>1</v>
      </c>
      <c r="D36" s="5">
        <f>20/20</f>
        <v>1</v>
      </c>
      <c r="E36" s="5">
        <f>24/24</f>
        <v>1</v>
      </c>
      <c r="F36" s="5">
        <f>6/6</f>
        <v>1</v>
      </c>
      <c r="G36" s="5">
        <f>3/3</f>
        <v>1</v>
      </c>
      <c r="H36" s="12"/>
      <c r="I36" s="6"/>
    </row>
    <row r="37" spans="1:9">
      <c r="A37" s="4" t="s">
        <v>78</v>
      </c>
      <c r="B37" s="4">
        <v>9</v>
      </c>
      <c r="C37" s="4" t="s">
        <v>36</v>
      </c>
      <c r="D37" s="4">
        <v>11</v>
      </c>
      <c r="E37" s="4" t="s">
        <v>32</v>
      </c>
      <c r="F37" s="4" t="s">
        <v>70</v>
      </c>
      <c r="G37" s="4" t="s">
        <v>53</v>
      </c>
      <c r="H37" s="13"/>
      <c r="I37" s="6"/>
    </row>
    <row r="38" spans="1:9">
      <c r="A38" s="1" t="s">
        <v>10</v>
      </c>
      <c r="B38" s="5">
        <f>9/9</f>
        <v>1</v>
      </c>
      <c r="C38" s="5">
        <f>10/10</f>
        <v>1</v>
      </c>
      <c r="D38" s="5">
        <f>11/11</f>
        <v>1</v>
      </c>
      <c r="E38" s="5">
        <f>6/6</f>
        <v>1</v>
      </c>
      <c r="F38" s="5">
        <f>2/2</f>
        <v>1</v>
      </c>
      <c r="G38" s="5">
        <f>2/2</f>
        <v>1</v>
      </c>
      <c r="H38" s="12"/>
      <c r="I38" s="6"/>
    </row>
    <row r="39" spans="1:9">
      <c r="A39" s="1" t="s">
        <v>11</v>
      </c>
      <c r="B39" s="5">
        <f>54/54</f>
        <v>1</v>
      </c>
      <c r="C39" s="5">
        <f>40/40</f>
        <v>1</v>
      </c>
      <c r="D39" s="5">
        <f>65/66</f>
        <v>0.98484848484848486</v>
      </c>
      <c r="E39" s="5">
        <f>36/36</f>
        <v>1</v>
      </c>
      <c r="F39" s="5"/>
      <c r="G39" s="5">
        <f>18/18</f>
        <v>1</v>
      </c>
      <c r="H39" s="12"/>
      <c r="I39" s="6"/>
    </row>
    <row r="40" spans="1:9">
      <c r="A40" s="1" t="s">
        <v>12</v>
      </c>
      <c r="B40" s="5">
        <f>9/9</f>
        <v>1</v>
      </c>
      <c r="C40" s="5">
        <f>14/20</f>
        <v>0.7</v>
      </c>
      <c r="D40" s="5">
        <f>12/22</f>
        <v>0.54545454545454541</v>
      </c>
      <c r="E40" s="5">
        <f>6/6</f>
        <v>1</v>
      </c>
      <c r="F40" s="5">
        <f>2/4</f>
        <v>0.5</v>
      </c>
      <c r="G40" s="5">
        <f>2/2</f>
        <v>1</v>
      </c>
      <c r="H40" s="12"/>
      <c r="I40" s="6"/>
    </row>
    <row r="41" spans="1:9">
      <c r="A41" s="1" t="s">
        <v>13</v>
      </c>
      <c r="B41" s="5">
        <f>45/45</f>
        <v>1</v>
      </c>
      <c r="C41" s="5">
        <f>28/30</f>
        <v>0.93333333333333335</v>
      </c>
      <c r="D41" s="5">
        <f>44/44</f>
        <v>1</v>
      </c>
      <c r="E41" s="5">
        <f>24/24</f>
        <v>1</v>
      </c>
      <c r="F41" s="5">
        <f>4/4</f>
        <v>1</v>
      </c>
      <c r="G41" s="5">
        <f>6/6</f>
        <v>1</v>
      </c>
      <c r="H41" s="12"/>
      <c r="I41" s="6"/>
    </row>
    <row r="42" spans="1:9">
      <c r="A42" s="4" t="s">
        <v>79</v>
      </c>
      <c r="B42" s="4">
        <v>0</v>
      </c>
      <c r="C42" s="4">
        <v>0</v>
      </c>
      <c r="D42" s="4">
        <v>0</v>
      </c>
      <c r="E42" s="4">
        <v>0</v>
      </c>
      <c r="F42" s="8">
        <v>0</v>
      </c>
      <c r="G42" s="4">
        <v>0</v>
      </c>
      <c r="I42" s="6"/>
    </row>
    <row r="43" spans="1:9">
      <c r="A43" s="1" t="s">
        <v>10</v>
      </c>
      <c r="B43" s="5"/>
      <c r="C43" s="5"/>
      <c r="D43" s="5"/>
      <c r="E43" s="5"/>
      <c r="F43" s="5"/>
      <c r="G43" s="1"/>
      <c r="H43" s="12"/>
      <c r="I43" s="6"/>
    </row>
    <row r="44" spans="1:9">
      <c r="A44" s="1" t="s">
        <v>11</v>
      </c>
      <c r="B44" s="5"/>
      <c r="C44" s="5"/>
      <c r="D44" s="5"/>
      <c r="E44" s="5"/>
      <c r="F44" s="1"/>
      <c r="G44" s="1"/>
      <c r="H44" s="12"/>
      <c r="I44" s="6"/>
    </row>
    <row r="45" spans="1:9">
      <c r="A45" s="1" t="s">
        <v>12</v>
      </c>
      <c r="B45" s="5"/>
      <c r="C45" s="5"/>
      <c r="D45" s="5"/>
      <c r="E45" s="5"/>
      <c r="F45" s="5"/>
      <c r="G45" s="1"/>
      <c r="H45" s="12"/>
      <c r="I45" s="6"/>
    </row>
    <row r="46" spans="1:9">
      <c r="A46" s="1" t="s">
        <v>13</v>
      </c>
      <c r="B46" s="5"/>
      <c r="C46" s="5"/>
      <c r="D46" s="5"/>
      <c r="E46" s="5"/>
      <c r="F46" s="5"/>
      <c r="G46" s="1"/>
      <c r="H46" s="12"/>
      <c r="I46" s="6"/>
    </row>
    <row r="47" spans="1:9">
      <c r="A47" s="4" t="s">
        <v>72</v>
      </c>
      <c r="B47" s="4">
        <v>2</v>
      </c>
      <c r="C47" s="4">
        <v>2</v>
      </c>
      <c r="D47" s="4">
        <v>2</v>
      </c>
      <c r="E47" s="4">
        <v>2</v>
      </c>
      <c r="F47" s="8">
        <v>2</v>
      </c>
      <c r="G47" s="4">
        <v>0</v>
      </c>
    </row>
    <row r="48" spans="1:9">
      <c r="A48" s="1" t="s">
        <v>10</v>
      </c>
      <c r="B48" s="5">
        <f>2/2</f>
        <v>1</v>
      </c>
      <c r="C48" s="5">
        <f>2/2</f>
        <v>1</v>
      </c>
      <c r="D48" s="5">
        <f>2/2</f>
        <v>1</v>
      </c>
      <c r="E48" s="5">
        <f>2/2</f>
        <v>1</v>
      </c>
      <c r="F48" s="5">
        <f>2/2</f>
        <v>1</v>
      </c>
      <c r="G48" s="1"/>
    </row>
    <row r="49" spans="1:7">
      <c r="A49" s="1" t="s">
        <v>11</v>
      </c>
      <c r="B49" s="5">
        <f>12/12</f>
        <v>1</v>
      </c>
      <c r="C49" s="5">
        <f>8/8</f>
        <v>1</v>
      </c>
      <c r="D49" s="5">
        <f>10/12</f>
        <v>0.83333333333333337</v>
      </c>
      <c r="E49" s="5">
        <f>12/12</f>
        <v>1</v>
      </c>
      <c r="F49" s="1"/>
      <c r="G49" s="1"/>
    </row>
    <row r="50" spans="1:7">
      <c r="A50" s="1" t="s">
        <v>12</v>
      </c>
      <c r="B50" s="5">
        <f>2/2</f>
        <v>1</v>
      </c>
      <c r="C50" s="5">
        <f>2/4</f>
        <v>0.5</v>
      </c>
      <c r="D50" s="5">
        <f>2/4</f>
        <v>0.5</v>
      </c>
      <c r="E50" s="5">
        <f>2/2</f>
        <v>1</v>
      </c>
      <c r="F50" s="5">
        <f>2/4</f>
        <v>0.5</v>
      </c>
      <c r="G50" s="1"/>
    </row>
    <row r="51" spans="1:7">
      <c r="A51" s="1" t="s">
        <v>13</v>
      </c>
      <c r="B51" s="5">
        <f>10/10</f>
        <v>1</v>
      </c>
      <c r="C51" s="5">
        <f>6/6</f>
        <v>1</v>
      </c>
      <c r="D51" s="5">
        <f>2/8</f>
        <v>0.25</v>
      </c>
      <c r="E51" s="5">
        <f>6/8</f>
        <v>0.75</v>
      </c>
      <c r="F51" s="5">
        <f>4/4</f>
        <v>1</v>
      </c>
      <c r="G51" s="1"/>
    </row>
  </sheetData>
  <conditionalFormatting sqref="B48:D51">
    <cfRule type="cellIs" dxfId="63" priority="48" operator="between">
      <formula>0</formula>
      <formula>0.7</formula>
    </cfRule>
    <cfRule type="cellIs" dxfId="62" priority="47" operator="greaterThanOrEqual">
      <formula>0.7</formula>
    </cfRule>
    <cfRule type="cellIs" dxfId="61" priority="46" operator="greaterThanOrEqual">
      <formula>0.95</formula>
    </cfRule>
    <cfRule type="containsBlanks" dxfId="60" priority="45">
      <formula>LEN(TRIM(B48))=0</formula>
    </cfRule>
  </conditionalFormatting>
  <conditionalFormatting sqref="B43:E46">
    <cfRule type="containsBlanks" dxfId="59" priority="17">
      <formula>LEN(TRIM(B43))=0</formula>
    </cfRule>
    <cfRule type="cellIs" dxfId="58" priority="18" operator="greaterThanOrEqual">
      <formula>0.95</formula>
    </cfRule>
    <cfRule type="cellIs" dxfId="57" priority="19" operator="greaterThanOrEqual">
      <formula>0.7</formula>
    </cfRule>
    <cfRule type="cellIs" dxfId="56" priority="20" operator="between">
      <formula>0</formula>
      <formula>0.7</formula>
    </cfRule>
  </conditionalFormatting>
  <conditionalFormatting sqref="B3:H6">
    <cfRule type="containsBlanks" dxfId="55" priority="9">
      <formula>LEN(TRIM(B3))=0</formula>
    </cfRule>
    <cfRule type="cellIs" dxfId="54" priority="10" operator="greaterThanOrEqual">
      <formula>0.95</formula>
    </cfRule>
    <cfRule type="cellIs" dxfId="53" priority="11" operator="greaterThanOrEqual">
      <formula>0.7</formula>
    </cfRule>
    <cfRule type="cellIs" dxfId="52" priority="12" operator="between">
      <formula>0</formula>
      <formula>0.7</formula>
    </cfRule>
  </conditionalFormatting>
  <conditionalFormatting sqref="B8:H11">
    <cfRule type="containsBlanks" dxfId="51" priority="29">
      <formula>LEN(TRIM(B8))=0</formula>
    </cfRule>
    <cfRule type="cellIs" dxfId="50" priority="30" operator="greaterThanOrEqual">
      <formula>0.95</formula>
    </cfRule>
    <cfRule type="cellIs" dxfId="49" priority="31" operator="greaterThanOrEqual">
      <formula>0.7</formula>
    </cfRule>
    <cfRule type="cellIs" dxfId="48" priority="32" operator="between">
      <formula>0</formula>
      <formula>0.7</formula>
    </cfRule>
  </conditionalFormatting>
  <conditionalFormatting sqref="B13:H16">
    <cfRule type="containsBlanks" dxfId="47" priority="41">
      <formula>LEN(TRIM(B13))=0</formula>
    </cfRule>
    <cfRule type="cellIs" dxfId="46" priority="44" operator="between">
      <formula>0</formula>
      <formula>0.7</formula>
    </cfRule>
    <cfRule type="cellIs" dxfId="45" priority="43" operator="greaterThanOrEqual">
      <formula>0.7</formula>
    </cfRule>
    <cfRule type="cellIs" dxfId="44" priority="42" operator="greaterThanOrEqual">
      <formula>0.95</formula>
    </cfRule>
  </conditionalFormatting>
  <conditionalFormatting sqref="B18:H21">
    <cfRule type="cellIs" dxfId="43" priority="39" operator="greaterThanOrEqual">
      <formula>0.7</formula>
    </cfRule>
    <cfRule type="cellIs" dxfId="42" priority="38" operator="greaterThanOrEqual">
      <formula>0.95</formula>
    </cfRule>
    <cfRule type="containsBlanks" dxfId="41" priority="37">
      <formula>LEN(TRIM(B18))=0</formula>
    </cfRule>
    <cfRule type="cellIs" dxfId="40" priority="40" operator="between">
      <formula>0</formula>
      <formula>0.7</formula>
    </cfRule>
  </conditionalFormatting>
  <conditionalFormatting sqref="B23:H26">
    <cfRule type="containsBlanks" dxfId="39" priority="33">
      <formula>LEN(TRIM(B23))=0</formula>
    </cfRule>
    <cfRule type="cellIs" dxfId="38" priority="34" operator="greaterThanOrEqual">
      <formula>0.95</formula>
    </cfRule>
    <cfRule type="cellIs" dxfId="37" priority="35" operator="greaterThanOrEqual">
      <formula>0.7</formula>
    </cfRule>
    <cfRule type="cellIs" dxfId="36" priority="36" operator="between">
      <formula>0</formula>
      <formula>0.7</formula>
    </cfRule>
  </conditionalFormatting>
  <conditionalFormatting sqref="B28:H31">
    <cfRule type="cellIs" dxfId="35" priority="23" operator="greaterThanOrEqual">
      <formula>0.7</formula>
    </cfRule>
    <cfRule type="cellIs" dxfId="34" priority="22" operator="greaterThanOrEqual">
      <formula>0.95</formula>
    </cfRule>
    <cfRule type="containsBlanks" dxfId="33" priority="21">
      <formula>LEN(TRIM(B28))=0</formula>
    </cfRule>
    <cfRule type="cellIs" dxfId="32" priority="24" operator="between">
      <formula>0</formula>
      <formula>0.7</formula>
    </cfRule>
  </conditionalFormatting>
  <conditionalFormatting sqref="B33:H36">
    <cfRule type="containsBlanks" dxfId="31" priority="25">
      <formula>LEN(TRIM(B33))=0</formula>
    </cfRule>
    <cfRule type="cellIs" dxfId="30" priority="28" operator="between">
      <formula>0</formula>
      <formula>0.7</formula>
    </cfRule>
    <cfRule type="cellIs" dxfId="29" priority="27" operator="greaterThanOrEqual">
      <formula>0.7</formula>
    </cfRule>
    <cfRule type="cellIs" dxfId="28" priority="26" operator="greaterThanOrEqual">
      <formula>0.95</formula>
    </cfRule>
  </conditionalFormatting>
  <conditionalFormatting sqref="B38:H41">
    <cfRule type="cellIs" dxfId="27" priority="15" operator="greaterThanOrEqual">
      <formula>0.7</formula>
    </cfRule>
    <cfRule type="cellIs" dxfId="26" priority="16" operator="between">
      <formula>0</formula>
      <formula>0.7</formula>
    </cfRule>
    <cfRule type="cellIs" dxfId="25" priority="14" operator="greaterThanOrEqual">
      <formula>0.95</formula>
    </cfRule>
    <cfRule type="containsBlanks" dxfId="24" priority="13">
      <formula>LEN(TRIM(B38))=0</formula>
    </cfRule>
  </conditionalFormatting>
  <conditionalFormatting sqref="E49:E51">
    <cfRule type="cellIs" dxfId="23" priority="3" operator="greaterThanOrEqual">
      <formula>0.7</formula>
    </cfRule>
    <cfRule type="cellIs" dxfId="22" priority="4" operator="between">
      <formula>0</formula>
      <formula>0.7</formula>
    </cfRule>
    <cfRule type="cellIs" dxfId="21" priority="2" operator="greaterThanOrEqual">
      <formula>0.95</formula>
    </cfRule>
    <cfRule type="containsBlanks" dxfId="20" priority="1">
      <formula>LEN(TRIM(E49))=0</formula>
    </cfRule>
  </conditionalFormatting>
  <conditionalFormatting sqref="E48:F48">
    <cfRule type="containsBlanks" dxfId="19" priority="5">
      <formula>LEN(TRIM(E48))=0</formula>
    </cfRule>
    <cfRule type="cellIs" dxfId="18" priority="6" operator="greaterThanOrEqual">
      <formula>0.95</formula>
    </cfRule>
    <cfRule type="cellIs" dxfId="17" priority="7" operator="greaterThanOrEqual">
      <formula>0.7</formula>
    </cfRule>
    <cfRule type="cellIs" dxfId="16" priority="8" operator="between">
      <formula>0</formula>
      <formula>0.7</formula>
    </cfRule>
  </conditionalFormatting>
  <conditionalFormatting sqref="F43">
    <cfRule type="cellIs" dxfId="15" priority="124" operator="between">
      <formula>0</formula>
      <formula>0.7</formula>
    </cfRule>
    <cfRule type="containsBlanks" dxfId="14" priority="121">
      <formula>LEN(TRIM(F43))=0</formula>
    </cfRule>
    <cfRule type="cellIs" dxfId="13" priority="122" operator="greaterThanOrEqual">
      <formula>0.95</formula>
    </cfRule>
    <cfRule type="cellIs" dxfId="12" priority="123" operator="greaterThanOrEqual">
      <formula>0.7</formula>
    </cfRule>
  </conditionalFormatting>
  <conditionalFormatting sqref="F45:F46">
    <cfRule type="containsBlanks" dxfId="11" priority="117">
      <formula>LEN(TRIM(F45))=0</formula>
    </cfRule>
    <cfRule type="cellIs" dxfId="10" priority="118" operator="greaterThanOrEqual">
      <formula>0.95</formula>
    </cfRule>
    <cfRule type="cellIs" dxfId="9" priority="119" operator="greaterThanOrEqual">
      <formula>0.7</formula>
    </cfRule>
    <cfRule type="cellIs" dxfId="8" priority="120" operator="between">
      <formula>0</formula>
      <formula>0.7</formula>
    </cfRule>
  </conditionalFormatting>
  <conditionalFormatting sqref="F50:F51">
    <cfRule type="containsBlanks" dxfId="7" priority="109">
      <formula>LEN(TRIM(F50))=0</formula>
    </cfRule>
    <cfRule type="cellIs" dxfId="6" priority="110" operator="greaterThanOrEqual">
      <formula>0.95</formula>
    </cfRule>
    <cfRule type="cellIs" dxfId="5" priority="111" operator="greaterThanOrEqual">
      <formula>0.7</formula>
    </cfRule>
    <cfRule type="cellIs" dxfId="4" priority="112" operator="between">
      <formula>0</formula>
      <formula>0.7</formula>
    </cfRule>
  </conditionalFormatting>
  <conditionalFormatting sqref="H43:H46">
    <cfRule type="containsBlanks" dxfId="3" priority="113">
      <formula>LEN(TRIM(H43))=0</formula>
    </cfRule>
    <cfRule type="cellIs" dxfId="2" priority="114" operator="greaterThanOrEqual">
      <formula>0.95</formula>
    </cfRule>
    <cfRule type="cellIs" dxfId="1" priority="115" operator="greaterThanOrEqual">
      <formula>0.7</formula>
    </cfRule>
    <cfRule type="cellIs" dxfId="0" priority="116" operator="between">
      <formula>0</formula>
      <formula>0.7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Guest User</cp:lastModifiedBy>
  <cp:revision/>
  <dcterms:created xsi:type="dcterms:W3CDTF">2023-09-27T18:54:08Z</dcterms:created>
  <dcterms:modified xsi:type="dcterms:W3CDTF">2025-11-19T17:59:17Z</dcterms:modified>
  <cp:category/>
  <cp:contentStatus/>
</cp:coreProperties>
</file>